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Override PartName="/xl/customStorage/customStorage.xml" ContentType="application/vnd.wps-officedocument.customStorag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updateLinks="never"/>
  <mc:AlternateContent xmlns:mc="http://schemas.openxmlformats.org/markup-compatibility/2006">
    <mc:Choice Requires="x15">
      <x15ac:absPath xmlns:x15ac="http://schemas.microsoft.com/office/spreadsheetml/2010/11/ac" url="C:\Users\TVUEDEQ\AI-SkillP\HARA_V12\"/>
    </mc:Choice>
  </mc:AlternateContent>
  <xr:revisionPtr revIDLastSave="0" documentId="13_ncr:1_{8A92DDB1-CC62-47C9-8637-1FC414FE050A}" xr6:coauthVersionLast="47" xr6:coauthVersionMax="47" xr10:uidLastSave="{00000000-0000-0000-0000-000000000000}"/>
  <bookViews>
    <workbookView xWindow="28680" yWindow="-120" windowWidth="29040" windowHeight="15720" tabRatio="869" firstSheet="3" activeTab="6" xr2:uid="{00000000-000D-0000-FFFF-FFFF00000000}"/>
  </bookViews>
  <sheets>
    <sheet name="0_Document Information" sheetId="17" state="hidden" r:id="rId1"/>
    <sheet name="AI-process" sheetId="27" state="hidden" r:id="rId2"/>
    <sheet name="01_Change History" sheetId="4" state="hidden" r:id="rId3"/>
    <sheet name="04_HAZOP" sheetId="18" r:id="rId4"/>
    <sheet name="05_HARA" sheetId="22" r:id="rId5"/>
    <sheet name="06_Safety Goal" sheetId="20" r:id="rId6"/>
    <sheet name="Severity" sheetId="12" r:id="rId7"/>
    <sheet name="Exposure" sheetId="25" r:id="rId8"/>
    <sheet name="Controllability" sheetId="26" r:id="rId9"/>
    <sheet name="VDA702 Summary" sheetId="23" state="hidden" r:id="rId10"/>
    <sheet name="10_SitKat_alt" sheetId="11" state="hidden" r:id="rId11"/>
    <sheet name="VDA702 Full" sheetId="24" r:id="rId12"/>
    <sheet name="ASIL_Table" sheetId="13" r:id="rId13"/>
    <sheet name="Werte" sheetId="8" state="hidden" r:id="rId14"/>
    <sheet name="Scenarios_Library" sheetId="29" r:id="rId15"/>
  </sheets>
  <definedNames>
    <definedName name="_xlnm._FilterDatabase" localSheetId="4" hidden="1">'05_HARA'!$A$4:$U$16</definedName>
    <definedName name="ASIL_Einstufung">Werte!$D$3:$D$7</definedName>
    <definedName name="C_Parameter">Werte!$C$3:$C$6</definedName>
    <definedName name="E_Kategorie">Werte!$E$3:$E$4</definedName>
    <definedName name="E_Parameter">Werte!$B$3:$B$7</definedName>
    <definedName name="Guide_Word">Werte!$L$3:$L$18</definedName>
    <definedName name="I3_Status">Werte!$J$3:$J$6</definedName>
    <definedName name="OPL_Prio">Werte!$H$3:$H$5</definedName>
    <definedName name="OPL_Status">Werte!$I$3:$I$5</definedName>
    <definedName name="S_Parameter">Werte!$A$3:$A$6</definedName>
    <definedName name="Status">Werte!$G$3:$G$5</definedName>
    <definedName name="Verkehrsort" localSheetId="10">'10_SitKat_alt'!$F$8:$F$22</definedName>
    <definedName name="Z_36FFFE58_6D09_41B1_94CE_EA27E5BFE886_.wvu.FilterData" localSheetId="4" hidden="1">'05_HARA'!#REF!</definedName>
    <definedName name="Z_5104BE5D_0F4B_406F_A2B8_321D838788F7_.wvu.FilterData" localSheetId="4" hidden="1">'05_HARA'!#REF!</definedName>
    <definedName name="Z_655D8EA4_6410_4AF2_BCFC_114BB752CD95_.wvu.Cols" localSheetId="4" hidden="1">'05_HARA'!#REF!</definedName>
    <definedName name="Z_655D8EA4_6410_4AF2_BCFC_114BB752CD95_.wvu.FilterData" localSheetId="4" hidden="1">'05_HARA'!#REF!</definedName>
    <definedName name="Z_6CF277E5_5B4E_427D_915C_568AB911D622_.wvu.FilterData" localSheetId="4" hidden="1">'05_HARA'!#REF!</definedName>
    <definedName name="Z_D9DC9094_D99B_4833_905A_F9A5D491F835_.wvu.FilterData" localSheetId="4" hidden="1">'05_HARA'!$A$4:$T$5</definedName>
    <definedName name="Z_DE00562F_B165_408F_B47E_E1FAA96A00D0_.wvu.Cols" localSheetId="4" hidden="1">'05_HARA'!$C:$D,'05_HARA'!#REF!</definedName>
    <definedName name="Z_DE00562F_B165_408F_B47E_E1FAA96A00D0_.wvu.FilterData" localSheetId="4" hidden="1">'05_HARA'!#REF!</definedName>
    <definedName name="Z_DE00562F_B165_408F_B47E_E1FAA96A00D0_.wvu.Rows" localSheetId="4" hidden="1">'05_HARA'!#REF!,'05_HARA'!#REF!,'05_HARA'!#REF!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6" i="11" l="1"/>
  <c r="F105" i="11"/>
  <c r="F104" i="11"/>
  <c r="F102" i="11"/>
  <c r="F91" i="11"/>
  <c r="F90" i="11"/>
  <c r="F89" i="11"/>
  <c r="F88" i="11"/>
  <c r="F87" i="11"/>
  <c r="F86" i="11"/>
  <c r="F85" i="11"/>
  <c r="F84" i="11"/>
  <c r="F83" i="11"/>
  <c r="F82" i="11"/>
  <c r="F81" i="11"/>
  <c r="F80" i="11"/>
  <c r="F79" i="11"/>
  <c r="F78" i="11"/>
  <c r="F77" i="11"/>
  <c r="F76" i="11"/>
  <c r="F75" i="11"/>
  <c r="F74" i="11"/>
  <c r="F73" i="11"/>
  <c r="F72" i="11"/>
  <c r="F71" i="11"/>
  <c r="F70" i="11"/>
  <c r="F65" i="11"/>
  <c r="F64" i="11"/>
  <c r="F63" i="11"/>
  <c r="F62" i="11"/>
  <c r="F61" i="11"/>
  <c r="F60" i="11"/>
  <c r="F59" i="11"/>
  <c r="F58" i="11"/>
  <c r="F57" i="11"/>
  <c r="F56" i="11"/>
  <c r="F55" i="11"/>
  <c r="F54" i="11"/>
  <c r="F53" i="11"/>
  <c r="F52" i="11"/>
  <c r="F51" i="11"/>
  <c r="F50" i="11"/>
  <c r="F49" i="11"/>
  <c r="F48" i="11"/>
  <c r="F47" i="11"/>
  <c r="F46" i="11"/>
  <c r="F45" i="11"/>
  <c r="F36" i="11"/>
  <c r="F35" i="11"/>
  <c r="F34" i="11"/>
  <c r="F33" i="11"/>
  <c r="F32" i="11"/>
  <c r="F31" i="11"/>
  <c r="F30" i="11"/>
  <c r="F29" i="11"/>
  <c r="F28" i="11"/>
  <c r="F22" i="11"/>
  <c r="F21" i="11"/>
  <c r="F20" i="11"/>
  <c r="F19" i="11"/>
  <c r="F18" i="11"/>
  <c r="F17" i="11"/>
  <c r="F16" i="11"/>
  <c r="F15" i="11"/>
  <c r="F14" i="11"/>
  <c r="F13" i="11"/>
  <c r="F12" i="11"/>
  <c r="F11" i="11"/>
  <c r="F10" i="11"/>
  <c r="F9" i="11"/>
  <c r="F8" i="11"/>
  <c r="E25" i="4"/>
  <c r="E24" i="4"/>
  <c r="E23" i="4"/>
  <c r="E16" i="4"/>
  <c r="E15" i="4"/>
  <c r="E14" i="4"/>
  <c r="E13" i="4"/>
  <c r="E12" i="4"/>
  <c r="E11" i="4"/>
  <c r="E4" i="4"/>
  <c r="Q15" i="22"/>
  <c r="Q10" i="22"/>
  <c r="Q16" i="22"/>
  <c r="Q11" i="22"/>
  <c r="Q8" i="22"/>
  <c r="Q6" i="22"/>
  <c r="Q14" i="22"/>
  <c r="Q12" i="22"/>
  <c r="Q9" i="22"/>
  <c r="Q7" i="22"/>
  <c r="Q13" i="22"/>
</calcChain>
</file>

<file path=xl/sharedStrings.xml><?xml version="1.0" encoding="utf-8"?>
<sst xmlns="http://schemas.openxmlformats.org/spreadsheetml/2006/main" count="2898" uniqueCount="1462">
  <si>
    <t>Hazard analysis and risk assessment</t>
  </si>
  <si>
    <t>Version:</t>
  </si>
  <si>
    <t>Date:</t>
  </si>
  <si>
    <t>Status:</t>
  </si>
  <si>
    <t>In Progress</t>
  </si>
  <si>
    <t>Vehicle Function:</t>
  </si>
  <si>
    <t>Project:</t>
  </si>
  <si>
    <t>Release recommendation</t>
  </si>
  <si>
    <t>Document</t>
  </si>
  <si>
    <t>Role in the project</t>
  </si>
  <si>
    <t>Signature</t>
  </si>
  <si>
    <t>Created</t>
  </si>
  <si>
    <t>Verification Review</t>
  </si>
  <si>
    <t>Release</t>
  </si>
  <si>
    <t>Role</t>
  </si>
  <si>
    <t>Released:</t>
  </si>
  <si>
    <t>Participants:</t>
  </si>
  <si>
    <t>Storage location of the document:</t>
  </si>
  <si>
    <r>
      <rPr>
        <sz val="10"/>
        <rFont val="Arial"/>
        <family val="2"/>
      </rPr>
      <t xml:space="preserve">File name: 
Onedrive Link: </t>
    </r>
    <r>
      <rPr>
        <sz val="10"/>
        <color rgb="FF00B0F0"/>
        <rFont val="Arial"/>
        <family val="2"/>
      </rPr>
      <t xml:space="preserve">
</t>
    </r>
  </si>
  <si>
    <t>Storage location of the verification review report:</t>
  </si>
  <si>
    <t xml:space="preserve">File name: 
Onedrive Link: </t>
  </si>
  <si>
    <t>Storage location of the confirmation review report:</t>
  </si>
  <si>
    <t>CSD class:</t>
  </si>
  <si>
    <t>HARA分析流程</t>
  </si>
  <si>
    <t>序号</t>
  </si>
  <si>
    <t>产物</t>
  </si>
  <si>
    <t>输入</t>
  </si>
  <si>
    <t>活动</t>
  </si>
  <si>
    <t>过程描述</t>
  </si>
  <si>
    <t>Skill</t>
  </si>
  <si>
    <t>输出</t>
  </si>
  <si>
    <t xml:space="preserve">HARA </t>
  </si>
  <si>
    <t>Item definition</t>
  </si>
  <si>
    <t>罗列功能</t>
  </si>
  <si>
    <t>从Item Definition 文档&lt;第2.5章节中摘取相关项功能描述并编号&gt;；</t>
  </si>
  <si>
    <t>1. 读取&lt;文档名称&gt;&amp;&lt;文档地址&gt;
读取关键字&lt;摘取相关项功能描述并编号&gt;
打开Word文档，读取/转化所有内容为文字信息；
进行全文解析；
汇总关键字&lt;摘取相关项功能描述并编号&gt;相关内容；
2. 读取&lt;文档名称&gt;&amp;&lt;文档地址&gt;
打开Excel文档，将基于关键字&lt;摘取相关项功能描述并编号&gt;的汇总信息填写到 “05_HARA”中的B列单元格</t>
  </si>
  <si>
    <t>填写Sheet “05_HARA”中的B列单元格</t>
  </si>
  <si>
    <t xml:space="preserve"> Sheet “05_HARA”中的B列单元格</t>
  </si>
  <si>
    <t>罗列输出描述</t>
  </si>
  <si>
    <t>从Item Definition 文档&lt;第3章节中获取对应相关项功能的输出描述&gt;；</t>
  </si>
  <si>
    <t>1. 读取&lt;文档名称&gt;&amp;&lt;文档地址&gt;
读取关键字&lt;相关项功能的输出描述&gt;
打开Word文档，读取/转化所有内容为文字信息；
进行全文解析；
汇总&lt;相关项功能的输出描述&gt;相关内容；
2. 读取&lt;文档名称&gt;&amp;&lt;文档地址&gt;
打开Excel文档，将基于关键字&lt;相关项功能的输出描述&gt;的汇总信息对应各功能填写到 “05_HARA”中的C列单元格</t>
  </si>
  <si>
    <t>填写Sheet “05_HARA”中的C列单元格</t>
  </si>
  <si>
    <t xml:space="preserve"> Sheet “05_HARA”中的C列单元格</t>
  </si>
  <si>
    <t>罗列对应功能的引导词</t>
  </si>
  <si>
    <t>从“04_HAZOP”的A3:A16逐个获取对应引导词 ；在HARA 表格中每个功能下插入&lt;14&gt;行，将引导词填入进表格。。</t>
  </si>
  <si>
    <t>1. 读取引导词&lt;04_HAZOP A3:A16&gt; 
读取功能“05_HARA”中的B列单元格的引导词，在HARA 表格中每个功能下插入&lt;14&gt;行，将引导词从对应功能的下一行开始纵向填写到“05_HARA”中的D列单元格</t>
  </si>
  <si>
    <t>填写Sheet “05_HARA”中的D列单元格</t>
  </si>
  <si>
    <t xml:space="preserve"> Sheet “05_HARA”中的D列单元格</t>
  </si>
  <si>
    <t>罗列对应功能的Malfunction</t>
  </si>
  <si>
    <t>组合“05_HARA”中的B列单元格 和 “05_HARA”中的D列单元格导出Malfunction</t>
  </si>
  <si>
    <t>1. 读取每行的功能“05_HARA”中的B列单元格  和 引导词 “05_HARA”中的D列单元格，基于逻辑合理性组合成Malfunction填写到 “05_HARA”中的E列单元格。</t>
  </si>
  <si>
    <t>填写Sheet “05_HARA”中的E列单元格</t>
  </si>
  <si>
    <t xml:space="preserve"> Sheet “05_HARA”中的E列单元格</t>
  </si>
  <si>
    <t>罗列对应Malfunction的Hazard</t>
  </si>
  <si>
    <r>
      <rPr>
        <sz val="11"/>
        <color rgb="FF000000"/>
        <rFont val="等线"/>
      </rPr>
      <t>基于 “05_HARA”中的E列单元格Malfunction分析可能导致的危害Hazard</t>
    </r>
    <r>
      <rPr>
        <sz val="11"/>
        <color rgb="FF000000"/>
        <rFont val="汉仪书宋二KW"/>
        <charset val="134"/>
      </rPr>
      <t>；</t>
    </r>
  </si>
  <si>
    <t>1。读取“05_HARA”中的E列单元格中Mulfucntion，合理推论malfunction可能导致的整车级危害。</t>
  </si>
  <si>
    <t>填写Sheet “05_HARA”中的F列单元格</t>
  </si>
  <si>
    <t xml:space="preserve"> Sheet “05_HARA”中的F列单元格</t>
  </si>
  <si>
    <t>组合场景</t>
  </si>
  <si>
    <t>结合“Scenarios_Libarary”中的B列的Operating scenarios内容作为主场景；将场景和Malfunction排列组合纵向填写到表格中。</t>
  </si>
  <si>
    <t>1. 读取“Scenarios_Libarary”中的B列的Operating scenarios作为主场景，将“05_HARA”中的F列单元格的每一个Malfucntion和场景排列组合并推理每个组合的合理性，将合理结果以纵向插入行的形式填充到每一个Malfunction下方的“05_HARA”中的G列单元格；</t>
  </si>
  <si>
    <t>填写Sheet “05_HARA”中的G列单元格</t>
  </si>
  <si>
    <t xml:space="preserve"> Sheet “05_HARA”中的G列单元格</t>
  </si>
  <si>
    <t>细化组合场景描述</t>
  </si>
  <si>
    <t>结合“Scenarios_Libarary”中的C列、D列、E列、F列的Vehicle state Vehicle speed Weather Conditions Road Surface Conditions内容作为补充场景；将补充场景和主场景排列组合纵向填写到表格中。</t>
  </si>
  <si>
    <t>1. 读取“Scenarios_Libarary”中的C列、D列、E列、F列的Vehicle state Vehicle speed Weather Conditions Road Surface Conditions内容作为补充场景，将“05_HARA”中的F列单元格的每一个Malfucntion、 “05_HARA”中的G列单元格的每一个主场景和补充场景排列组合并推理每个组合的合理性，将合理的细化场景结果以纵向插入行的形式填充到每一个Malfunction和主场景组合的下方的“05_HARA”中的I列单元格；</t>
  </si>
  <si>
    <t>填写Sheet “05_HARA”中的I列单元格</t>
  </si>
  <si>
    <t xml:space="preserve"> Sheet “05_HARA”中的I列单元格</t>
  </si>
  <si>
    <t>分析危害事件</t>
  </si>
  <si>
    <t>从Item Definition 文档&lt;第3.9.2章节中摘取Hazards event&gt;，推理Malfunction+场景组合罗列可能发生的Hazards event；</t>
  </si>
  <si>
    <t>1. 打开Word文档-Item definition，汇总关键字&lt;第3.9.2章节中摘取Hazards event&gt;相关内容；
2. 基于“05_HARA”中的F列单元格的Malfunction+“05_HARA”中的G列单元格的主场景+“05_HARA”中的I列单元格的细化场景，推理可能导致的Hazards Event；Hazards event可以参考步骤1读取的结果，也应考虑可能的其他合理Hazards event. 并将合理分析结果填写到“05_HARA”中的H列单元格。</t>
  </si>
  <si>
    <t>填写Sheet “05_HARA”中的H列单元格</t>
  </si>
  <si>
    <t>严重度合理性</t>
  </si>
  <si>
    <t>根据该行内容的危害事件和sheet “Severity”描述严重度的合理性。</t>
  </si>
  <si>
    <r>
      <rPr>
        <sz val="11"/>
        <color rgb="FF000000"/>
        <rFont val="等线"/>
      </rPr>
      <t>1.在文档地址&lt;XXX&gt;&amp;文档名称&lt;XXX&gt;读取"Severity“ sheet;
2.根据"Severity“ sheet内容和对应行I列的危害事件分析其严重度</t>
    </r>
    <r>
      <rPr>
        <sz val="11"/>
        <color rgb="FF000000"/>
        <rFont val="汉仪书宋二KW"/>
        <charset val="134"/>
      </rPr>
      <t>；</t>
    </r>
    <r>
      <rPr>
        <sz val="11"/>
        <color rgb="FF000000"/>
        <rFont val="等线"/>
      </rPr>
      <t xml:space="preserve">
3.填写严重度合理性到</t>
    </r>
    <r>
      <rPr>
        <sz val="11"/>
        <color rgb="FF000000"/>
        <rFont val="汉仪书宋二KW"/>
        <charset val="134"/>
      </rPr>
      <t>：</t>
    </r>
    <r>
      <rPr>
        <sz val="11"/>
        <color rgb="FF000000"/>
        <rFont val="等线"/>
      </rPr>
      <t>Sheet “05_HARA”中的K列单元格</t>
    </r>
  </si>
  <si>
    <t>填写Sheet “05_HARA”中的K列单元格</t>
  </si>
  <si>
    <t xml:space="preserve"> Sheet “05_HARA”中的K列单元格</t>
  </si>
  <si>
    <t>严重度打分</t>
  </si>
  <si>
    <t>根据该行内容的严重度合理性参考和sheet “Severity”打分，共4个选项S0，S1，S2，S3;</t>
  </si>
  <si>
    <t>1.读取Sheet “05_HARA”中的K列单元格内容输出严重度等级S0,S1,S2或S3；
2.填写严重度等级S0,S1,S2或S3到：Sheet “05_HARA”中的J列单元格</t>
  </si>
  <si>
    <t>填写Sheet “05_HARA”中的J列单元格</t>
  </si>
  <si>
    <t>Sheet “05_HARA”中的I列单元格</t>
  </si>
  <si>
    <t>暴露度合理性</t>
  </si>
  <si>
    <t>根据该行内容的组合场景和sheet “Exposure”描述暴露度的合理性。</t>
  </si>
  <si>
    <r>
      <rPr>
        <sz val="11"/>
        <color rgb="FF000000"/>
        <rFont val="等线"/>
      </rPr>
      <t>1.在文档地址&lt;XXX&gt;&amp;文档名称&lt;XXX&gt;读取"Scenarios_Libarary"sheet;
2.基于"Scenarios_Libarary"sheet内容和对应行I列的危害时间分析暴露度合理性</t>
    </r>
    <r>
      <rPr>
        <sz val="11"/>
        <color rgb="FF000000"/>
        <rFont val="汉仪书宋二KW"/>
        <charset val="134"/>
      </rPr>
      <t>；</t>
    </r>
    <r>
      <rPr>
        <sz val="11"/>
        <color rgb="FF000000"/>
        <rFont val="等线"/>
      </rPr>
      <t xml:space="preserve">
4.填写暴露度合理性到</t>
    </r>
    <r>
      <rPr>
        <sz val="11"/>
        <color rgb="FF000000"/>
        <rFont val="汉仪书宋二KW"/>
        <charset val="134"/>
      </rPr>
      <t>：</t>
    </r>
    <r>
      <rPr>
        <sz val="11"/>
        <color rgb="FF000000"/>
        <rFont val="等线"/>
      </rPr>
      <t>Sheet “05_HARA”中的N列单元格</t>
    </r>
  </si>
  <si>
    <t>填写Sheet “05_HARA”中的N列单元格</t>
  </si>
  <si>
    <t xml:space="preserve"> Sheet “05_HARA”中的N列单元格</t>
  </si>
  <si>
    <t>暴露度打分</t>
  </si>
  <si>
    <t>根据该行内容的严重度合理性参考和sheet “Exposure”打分，共5个选项E0，E1，E2，E3，E4;其中E0表示不会发生或发生概率与”不可抗力，如大型地震、海啸等“的概率接近。</t>
  </si>
  <si>
    <t>1.读取Sheet “05_HARA”中的N列单元格对应内容分析并输出暴露度等级E0,E1,E2,E3或E4；
3.填写暴露度等级E0,E1,E2,E3或E4到：Sheet “05_HARA”中的L列单元格</t>
  </si>
  <si>
    <t>填写Sheet “05_HARA”中的L列单元格</t>
  </si>
  <si>
    <t>可控度合理性</t>
  </si>
  <si>
    <t>根据正常驾驶员反应（如满足驾驶能力、资质，操作响应时间参考为1.3s等）和sheet “Controllability”描述可控度的合理性。</t>
  </si>
  <si>
    <r>
      <rPr>
        <sz val="11"/>
        <color rgb="FF000000"/>
        <rFont val="等线"/>
      </rPr>
      <t>1.在文档地址&lt;XXX&gt;&amp;文档名称&lt;XXX&gt;读取"Controllability"sheet;
2.基于"Controllability"sheet;内容和对应行I列的危害时间分析暴露度合理性</t>
    </r>
    <r>
      <rPr>
        <sz val="11"/>
        <color rgb="FF000000"/>
        <rFont val="汉仪书宋二KW"/>
        <charset val="134"/>
      </rPr>
      <t>；</t>
    </r>
    <r>
      <rPr>
        <sz val="11"/>
        <color rgb="FF000000"/>
        <rFont val="等线"/>
      </rPr>
      <t xml:space="preserve">
3.填写暴露度合理性到</t>
    </r>
    <r>
      <rPr>
        <sz val="11"/>
        <color rgb="FF000000"/>
        <rFont val="汉仪书宋二KW"/>
        <charset val="134"/>
      </rPr>
      <t>：</t>
    </r>
    <r>
      <rPr>
        <sz val="11"/>
        <color rgb="FF000000"/>
        <rFont val="等线"/>
      </rPr>
      <t>Sheet “05_HARA”中的P列单元格</t>
    </r>
  </si>
  <si>
    <t>填写Sheet “05_HARA”中的P列单元格</t>
  </si>
  <si>
    <t xml:space="preserve"> Sheet “05_HARA”中的P列单元格</t>
  </si>
  <si>
    <t>可控度打分</t>
  </si>
  <si>
    <t>根据该行内容的可控度合理性和sheet “Controllability”打分，共4个选项C0，C1，C2，C3。其中C0表示在产生实际危害事件前完全可控。</t>
  </si>
  <si>
    <t>1.读取Sheet “05_HARA”中的P列单元格内容并输出可控度等级C0,11,C2或C3；
2.填写可控度等级C0,C1,C2或C3到：Sheet “05_HARA”中的O列单元格；</t>
  </si>
  <si>
    <t>填写Sheet “05_HARA”中的O列单元格</t>
  </si>
  <si>
    <t>Sheet “05_HARA”中的J列单元格
Sheet “05_HARA”中的L列单元格
Sheet “05_HARA”中的O列单元格</t>
  </si>
  <si>
    <t>判定ASIL等级</t>
  </si>
  <si>
    <t>根据本行的严重度、暴露度、可控度分值和sheet“ASIL_Table”计算对应ASIL等级。</t>
  </si>
  <si>
    <t>1.在文档地址&lt;XXX&gt;&amp;文档名称&lt;&gt;读取"ASIL_Table"sheet;
2.获取 Sheet “05_HARA”中的J列单元格；
3.获取 Sheet “05_HARA”中的L列单元格；
4.获取 Sheet “05_HARA”中的O列单元格；
5.并根据&lt;Table 4 — ASIL determination&gt;及从 Sheet “05_HARA”中的J列，L列及O列单元格获取的S等级，E等级和C等级输出ASIL等级；
6.填写Sheet “05_HARA”中的Q列单元格；</t>
  </si>
  <si>
    <t>填写Sheet “05_HARA”中的Q列单元格</t>
  </si>
  <si>
    <t xml:space="preserve"> Sheet “05_HARA”中的I列单元格
 Sheet “05_HARA”中的Q列单元格</t>
  </si>
  <si>
    <t>填写安全目标</t>
  </si>
  <si>
    <t>安全目标描述，应参考如下语义组合编写：”"避免发生因"+&lt;“05_HARA”中的D列单元格的引导词描述&gt;+&lt; “05_HARA”中的B列单元格的功能描述&gt;+“而导致”+&lt; “05_HARA”中的I列单元格的细化组合场景描述&gt;+“发生”+&lt;“05_HARA”中的H列单元格的Hazards event描述&gt; “；
如“避免因非预期远程上电而导致在车辆维修状态下发生触电”</t>
  </si>
  <si>
    <t>1.若 Sheet “05_HARA”中的Q列单元格为QM或空格,则对应的T行写NA；
2.若 Sheet “05_HARA”中的Q列单元格为A或B或C或D,则对应的T行根据安全目标的语义组合要求填写，例如：避免在高速直线行驶时车辆出现非预期转向导致车毁人亡；
3.填写Sheet “05_HARA”中的T列单元格；</t>
  </si>
  <si>
    <t>填写Sheet “05_HARA”中的T列单元格</t>
  </si>
  <si>
    <t>Sheet “05_HARA”中的T列单元格
Sheet “05_HARA”中的C列单元格</t>
  </si>
  <si>
    <t>安全状态</t>
  </si>
  <si>
    <r>
      <rPr>
        <sz val="11"/>
        <color rgb="FF000000"/>
        <rFont val="等线"/>
      </rPr>
      <t>根据安全目标和功能描述</t>
    </r>
    <r>
      <rPr>
        <sz val="11"/>
        <color rgb="FF000000"/>
        <rFont val="汉仪书宋二KW"/>
        <charset val="134"/>
      </rPr>
      <t>，</t>
    </r>
    <r>
      <rPr>
        <sz val="11"/>
        <color rgb="FF000000"/>
        <rFont val="等线"/>
      </rPr>
      <t>合理推论安全状态。</t>
    </r>
  </si>
  <si>
    <t>1.若 Sheet “05_HARA”中的T列单元格为NA或空格,则对应的U行填NA；
2.若 Sheet “05_HARA”中的T列单元格有安全目标内容和“05_HARA”中的B列单元格的功能描述，合理推理安全状态，如“关断or保持输出并提醒驾驶员”；
3.填写Sheet “05_HARA”中的U列单元格；</t>
  </si>
  <si>
    <t>填写Sheet “05_HARA”中的U列单元格</t>
  </si>
  <si>
    <t>Change History of HARA</t>
  </si>
  <si>
    <t>No.</t>
  </si>
  <si>
    <t>Date</t>
  </si>
  <si>
    <t>Autor</t>
  </si>
  <si>
    <t>[Versionsnummer als Zahl]</t>
  </si>
  <si>
    <t>Version</t>
  </si>
  <si>
    <t>Description of the modification</t>
  </si>
  <si>
    <t>Status</t>
  </si>
  <si>
    <t>Legend for guide words</t>
  </si>
  <si>
    <t>Guide word</t>
  </si>
  <si>
    <t>Description</t>
  </si>
  <si>
    <t>unintended</t>
  </si>
  <si>
    <t>unrelated to the trigger.</t>
  </si>
  <si>
    <t xml:space="preserve">always active
</t>
  </si>
  <si>
    <t>Action is carried out continuously despite no trigger condition being present.</t>
  </si>
  <si>
    <t>loss</t>
  </si>
  <si>
    <t>Action is not executed despite trigger conditions being met.</t>
  </si>
  <si>
    <t>too large</t>
  </si>
  <si>
    <t>Value above a specified limit value.</t>
  </si>
  <si>
    <t>too small</t>
  </si>
  <si>
    <t>Value below a limit value.</t>
  </si>
  <si>
    <t>too early</t>
  </si>
  <si>
    <t>Before the time event.</t>
  </si>
  <si>
    <t>too late</t>
  </si>
  <si>
    <t>After the time event.</t>
  </si>
  <si>
    <t>too fast</t>
  </si>
  <si>
    <t>Action takes place faster than defined.</t>
  </si>
  <si>
    <t>too slow</t>
  </si>
  <si>
    <t>Action takes longer than defined.</t>
  </si>
  <si>
    <t>too long</t>
  </si>
  <si>
    <t>Action is executed as planned, but takes too long.</t>
  </si>
  <si>
    <t>too short</t>
  </si>
  <si>
    <t>Action is executed as planned, but too short.</t>
  </si>
  <si>
    <t>incomplete</t>
  </si>
  <si>
    <t>Action is not completed but too short.</t>
  </si>
  <si>
    <t>different to</t>
  </si>
  <si>
    <t>A different action than the expected one is executed.</t>
  </si>
  <si>
    <t>as well as</t>
  </si>
  <si>
    <t>In addition to the action, a further, unauthorized action is executed.</t>
  </si>
  <si>
    <t>Hazard Analysis and Risk Assessment (HARA)</t>
  </si>
  <si>
    <t>HARA-ID</t>
  </si>
  <si>
    <t>Function
(Abbr.)</t>
  </si>
  <si>
    <t>Output</t>
  </si>
  <si>
    <t>Guide-Word</t>
  </si>
  <si>
    <t>Malfunction</t>
  </si>
  <si>
    <t>Hazard</t>
  </si>
  <si>
    <r>
      <rPr>
        <b/>
        <sz val="11"/>
        <rFont val="Arial"/>
        <family val="2"/>
      </rPr>
      <t xml:space="preserve">Situational description 
</t>
    </r>
    <r>
      <rPr>
        <sz val="11"/>
        <rFont val="Arial"/>
        <family val="2"/>
      </rPr>
      <t>(Location of traffic, road condition, traffic situation)</t>
    </r>
  </si>
  <si>
    <r>
      <rPr>
        <b/>
        <sz val="11"/>
        <color theme="1"/>
        <rFont val="Arial"/>
        <family val="2"/>
      </rPr>
      <t xml:space="preserve">Situational detailing
 </t>
    </r>
    <r>
      <rPr>
        <sz val="11"/>
        <color theme="1"/>
        <rFont val="Arial"/>
        <family val="2"/>
      </rPr>
      <t>(e.g., vehicle dynamic state, additional conditions - optional)</t>
    </r>
  </si>
  <si>
    <t>Hazardous event/Potential damage
('Harm')</t>
  </si>
  <si>
    <t>Severity (S)</t>
  </si>
  <si>
    <t xml:space="preserve">Exposure (E) </t>
  </si>
  <si>
    <t>Controllability (C)</t>
  </si>
  <si>
    <t>ASIL</t>
  </si>
  <si>
    <t>Safe state</t>
  </si>
  <si>
    <t>Remark</t>
  </si>
  <si>
    <t>S</t>
  </si>
  <si>
    <t>Rationale 
Severity Evaluation</t>
  </si>
  <si>
    <t>E</t>
  </si>
  <si>
    <t>T/F</t>
  </si>
  <si>
    <t>Rationale 
Exposure Evaluation</t>
  </si>
  <si>
    <t>C</t>
  </si>
  <si>
    <t>Rationale 
Controllability Evaluation</t>
  </si>
  <si>
    <t>HZ-ID</t>
  </si>
  <si>
    <t>SG-ID</t>
  </si>
  <si>
    <t>Safety Goal</t>
  </si>
  <si>
    <t>S3</t>
  </si>
  <si>
    <t>E1</t>
  </si>
  <si>
    <t>C2</t>
  </si>
  <si>
    <t>Hazards and safety goals</t>
  </si>
  <si>
    <t>Safety State</t>
  </si>
  <si>
    <t>Max.
ASIL</t>
  </si>
  <si>
    <t>HZ_01</t>
  </si>
  <si>
    <t>HZ_02</t>
  </si>
  <si>
    <t>HZ_03</t>
  </si>
  <si>
    <t>HZ_04</t>
  </si>
  <si>
    <t>HZ_05</t>
  </si>
  <si>
    <t>Severity (s.a. Ref_1, B.2 Examples of severity)</t>
  </si>
  <si>
    <t>Consequence of accident (v in km/h)</t>
  </si>
  <si>
    <t>Rear-end collision (v&lt;15): S0</t>
  </si>
  <si>
    <t>Rear-end collision (v:15-64): S1</t>
  </si>
  <si>
    <t>Ref_1, Table B.1 Examples of severity classification</t>
  </si>
  <si>
    <t>Rear-end collision (v: 64-80): S1</t>
  </si>
  <si>
    <t>Rear-end collision (v: 80-100): S2</t>
  </si>
  <si>
    <t>S0</t>
  </si>
  <si>
    <t>S1</t>
  </si>
  <si>
    <t>S2</t>
  </si>
  <si>
    <t>Rear-end collision (v &gt;100): S3</t>
  </si>
  <si>
    <t xml:space="preserve">No injuries </t>
  </si>
  <si>
    <t>Light and moderate injuries</t>
  </si>
  <si>
    <t>Severe and life-threatening injuries (survival probable)</t>
  </si>
  <si>
    <t>Life-threatening injuries (survival uncertain), fatal injuries</t>
  </si>
  <si>
    <t>Frontal collision (v&lt;15): S0</t>
  </si>
  <si>
    <t>Reference for single injuries (from AIS scale)</t>
  </si>
  <si>
    <t>AIS 0 and less than 10% probability of AIS 1-6; or
damage that cannot be classified safety-related</t>
  </si>
  <si>
    <t>More than 10% probability of AIS 1-6 (and not S2 or S3)</t>
  </si>
  <si>
    <t>More than 10% probability of AIS 3-6 (and not S3)</t>
  </si>
  <si>
    <t>More than 10% probability of AIS 5-6</t>
  </si>
  <si>
    <t>Frontal collision (v:15-30): S0 (S1)</t>
  </si>
  <si>
    <t>Examples</t>
  </si>
  <si>
    <t>- Bumps with roadside infrastructure</t>
  </si>
  <si>
    <t xml:space="preserve">- Side impact with a narrow stationary object, e.g. passenger car crashing into a tree (impact to passenger cell) with very low speed </t>
  </si>
  <si>
    <t xml:space="preserve">- Side impact with a narrow stationary object, e.g. passenger car crashing into a tree (impact to passenger cell) with low speed </t>
  </si>
  <si>
    <t xml:space="preserve">- Side impact with a narrow stationary object, e.g. crashing into a tree (impact to passenger cell) with medium  speed </t>
  </si>
  <si>
    <t>Frontal collision (v:30-50): S1</t>
  </si>
  <si>
    <t>- Pushing over roadside post, fence, etc.</t>
  </si>
  <si>
    <t>- Rear / front collision with another passenger car with very low speed</t>
  </si>
  <si>
    <t>- Rear / front collision with another passenger car with low speed</t>
  </si>
  <si>
    <t>- Rear / front collision with another vehicle with medium speed</t>
  </si>
  <si>
    <t>Frontal collision (v:50-64): S2</t>
  </si>
  <si>
    <t>- Light grazing damage</t>
  </si>
  <si>
    <t>- Front collision (e.g. rear-ending another vehicle, semi-trailer, etc.) without passenger compartment deformation</t>
  </si>
  <si>
    <t>- Pedestrian / bicycle accident with low speed</t>
  </si>
  <si>
    <t>- Front collision (e.g. rear-ending another vehicle, semi-trailer, etc.) with passenger compartment deformation</t>
  </si>
  <si>
    <t>Frontal collision (v:64-80): S2 (S3)</t>
  </si>
  <si>
    <t>- Damage entering / exiting parking space</t>
  </si>
  <si>
    <t>-</t>
  </si>
  <si>
    <t>Frontal collision (v&gt;80): S3</t>
  </si>
  <si>
    <t>- Leaving the road without collision or rollover</t>
  </si>
  <si>
    <t>Side collision (v&lt;15): S0 (S1)</t>
  </si>
  <si>
    <t>NOTE  The informative examples in Table B.1 can be applied to passenger cars an T&amp;B, but are considered on a case by case basis.</t>
  </si>
  <si>
    <t>Side collision (v:15-30): S1</t>
  </si>
  <si>
    <t>Side collision (v:30-50): S2</t>
  </si>
  <si>
    <t>Side collision (v:50-64): S3</t>
  </si>
  <si>
    <t>Ref_1, B.2.2 Description of the AIS stages</t>
  </si>
  <si>
    <t>Side collision (v&gt;80): S3</t>
  </si>
  <si>
    <t>To describe the severity, the AIS (Abbreviated Injury Scale) classification is used. The AIS represents a classification of the severity of injuries and is issued by Association for the Advancement of Automotive Medicine (AAAM). The guidelines were created to enable an international comparison of severity. The scale is divided into seven classes:</t>
  </si>
  <si>
    <t>Car-pedestrian (v&lt;15): S1</t>
  </si>
  <si>
    <t>Car-pedestrian (v:15-30): S2</t>
  </si>
  <si>
    <t>Car pedestrians (v:30-50): S2</t>
  </si>
  <si>
    <t xml:space="preserve"> </t>
  </si>
  <si>
    <t>Car pedestrians (v:50-64): S3</t>
  </si>
  <si>
    <t>AIS 0: no injuries;</t>
  </si>
  <si>
    <t>Car cyclists (v&lt;15): S1</t>
  </si>
  <si>
    <t>Car cyclists (v:15-30): S2</t>
  </si>
  <si>
    <t>AIS 1: light injuries such as skin-deep wounds, muscle pains, whiplash, etc.;</t>
  </si>
  <si>
    <t>Car cyclists (v:30-50): S2</t>
  </si>
  <si>
    <t>Car cyclists (v:50-64): S3</t>
  </si>
  <si>
    <t>AIS 2: moderate injuries such as deep flesh wounds, concussion with up to 15 minutes of unconsciousness, uncomplicated long bone fractures, uncomplicated rib fractures etc.;</t>
  </si>
  <si>
    <t>Destabilization/lane departure: S3</t>
  </si>
  <si>
    <t>AIS 3: severe but not life-threatening injuries such as skull fractures without brain injury, spinal dislocations below the fourth cervical vertebra without damage to the spinal cord, more than one fractured rib without paradoxical breathing etc.;</t>
  </si>
  <si>
    <t>AIS 4: severe injuries (life-threatening, survival probable) such as concussion with or without skull fractures with up to 12 hours of unconsciousness, paradoxical breathing;</t>
  </si>
  <si>
    <t>AIS 5: critical injuries (life-threatening, survival uncertain) such as spinal fractures below the fourth cervical vertebra with damage to the spinal cord, intestinal tears, cardiac tears, more than 12 hours of unconsciousness including intracranial bleeding;</t>
  </si>
  <si>
    <t>AIS 6: extremely critical or fatal injuries such as fractures of the cervical vertebrae above the third cervical vertebra with damage to the spinal cord, extremely critical open wounds of body cavities (thoracic and abdominal cavities) etc.</t>
  </si>
  <si>
    <t>EXPOSURE (s.a. Ref_1, B.3 Examples and explanations of the probability of exposure)</t>
  </si>
  <si>
    <t>Ref_1, Table B.2 Classes of probability of exposure regarding duration in operational situations</t>
  </si>
  <si>
    <t>Class of probability of exposure in operational situations</t>
  </si>
  <si>
    <t>E2</t>
  </si>
  <si>
    <t>E3</t>
  </si>
  <si>
    <t>E4</t>
  </si>
  <si>
    <t>Very low probability</t>
  </si>
  <si>
    <t>Low probability</t>
  </si>
  <si>
    <t>Medium probability</t>
  </si>
  <si>
    <t>High probability</t>
  </si>
  <si>
    <t>Duration (% of average operating time)</t>
  </si>
  <si>
    <t>Not specified</t>
  </si>
  <si>
    <t>&lt;1 % of average operating time</t>
  </si>
  <si>
    <t>1 % to 10 % of average operating time</t>
  </si>
  <si>
    <t>&gt;10 % of average operating time</t>
  </si>
  <si>
    <t>Examples for road layout</t>
  </si>
  <si>
    <t>- Country road intersection</t>
  </si>
  <si>
    <t>- One-way street (city street)</t>
  </si>
  <si>
    <t>- Highway</t>
  </si>
  <si>
    <t>- Highway exit ramp</t>
  </si>
  <si>
    <t>- Country road</t>
  </si>
  <si>
    <t>Examples for road surface</t>
  </si>
  <si>
    <t>- Snow and ice on road</t>
  </si>
  <si>
    <t>- Wet road</t>
  </si>
  <si>
    <t>- Slippery leaves on road</t>
  </si>
  <si>
    <t>Examples for vehicle stationary state</t>
  </si>
  <si>
    <t>- Vehicle during jump start</t>
  </si>
  <si>
    <t>- Trailer attached</t>
  </si>
  <si>
    <t>- Vehicle on a hill 
(hill hold)</t>
  </si>
  <si>
    <t>- Roof rack attached</t>
  </si>
  <si>
    <t>- In repair garage</t>
  </si>
  <si>
    <t>- Vehicle being refuelled</t>
  </si>
  <si>
    <t>Examples for manoeuvre</t>
  </si>
  <si>
    <t>- Driving downhill with engine off 
(mountain pass)</t>
  </si>
  <si>
    <t>- Driving in reverse</t>
  </si>
  <si>
    <t>- Heavy traffic (stop and go)</t>
  </si>
  <si>
    <t>- Accelerating</t>
  </si>
  <si>
    <t>- Overtaking</t>
  </si>
  <si>
    <t>-Decelerating</t>
  </si>
  <si>
    <t>- Stopping at traffic light (city street)</t>
  </si>
  <si>
    <t>- Parking (with trailer attached)</t>
  </si>
  <si>
    <t>- Lane change (highway)</t>
  </si>
  <si>
    <t>Ref_1, Table B.3 Classes of probability of exposure regarding frequency in operational situations</t>
  </si>
  <si>
    <t>Frequency of Situation</t>
  </si>
  <si>
    <t>Occur less often than once a year for the great majority of drivers</t>
  </si>
  <si>
    <t>Occur a few times a year for the great majority of drivers</t>
  </si>
  <si>
    <t>Occur once a month or more often for an average driver</t>
  </si>
  <si>
    <t>Occur during almost every drive on average</t>
  </si>
  <si>
    <t>- Mountain pass with unsecured steep slope</t>
  </si>
  <si>
    <t>- Stopped, requiring  engine restart 
(at railway crossing)</t>
  </si>
  <si>
    <t>- Vehicle being refueled</t>
  </si>
  <si>
    <t>- Vehicle being towed</t>
  </si>
  <si>
    <t>- Evasive manoeuvre, deviating from desired path</t>
  </si>
  <si>
    <t>- Shifting transmission gears</t>
  </si>
  <si>
    <t>- Executing a turn (steering)</t>
  </si>
  <si>
    <t>- Using indicators</t>
  </si>
  <si>
    <t>Table B.4 and B.5 provide examples for T&amp;B. Different types of base vehicles are considered in the tables:</t>
  </si>
  <si>
    <r>
      <rPr>
        <b/>
        <sz val="10"/>
        <rFont val="Arial"/>
        <family val="2"/>
      </rPr>
      <t>LH</t>
    </r>
    <r>
      <rPr>
        <sz val="10"/>
        <rFont val="Arial"/>
        <family val="2"/>
      </rPr>
      <t>: long haul, for long distance transporting goods;</t>
    </r>
  </si>
  <si>
    <r>
      <rPr>
        <b/>
        <sz val="10"/>
        <rFont val="Arial"/>
        <family val="2"/>
      </rPr>
      <t>DI</t>
    </r>
    <r>
      <rPr>
        <sz val="10"/>
        <rFont val="Arial"/>
        <family val="2"/>
      </rPr>
      <t>: distribution, for distributing goods;</t>
    </r>
  </si>
  <si>
    <r>
      <rPr>
        <b/>
        <sz val="10"/>
        <rFont val="Arial"/>
        <family val="2"/>
      </rPr>
      <t>VO</t>
    </r>
    <r>
      <rPr>
        <sz val="10"/>
        <rFont val="Arial"/>
        <family val="2"/>
      </rPr>
      <t>: vocational, for performing specific work functions, e.g. dumper truck, concrete mixer, dustcart;</t>
    </r>
  </si>
  <si>
    <r>
      <rPr>
        <b/>
        <sz val="10"/>
        <rFont val="Arial"/>
        <family val="2"/>
      </rPr>
      <t>CB</t>
    </r>
    <r>
      <rPr>
        <sz val="10"/>
        <rFont val="Arial"/>
        <family val="2"/>
      </rPr>
      <t>: city bus, for urban and suburban use;</t>
    </r>
  </si>
  <si>
    <r>
      <rPr>
        <b/>
        <sz val="10"/>
        <rFont val="Arial"/>
        <family val="2"/>
      </rPr>
      <t xml:space="preserve"> IB:</t>
    </r>
    <r>
      <rPr>
        <sz val="10"/>
        <rFont val="Arial"/>
        <family val="2"/>
      </rPr>
      <t xml:space="preserve"> interurban bus, for interurban transport</t>
    </r>
    <r>
      <rPr>
        <b/>
        <sz val="10"/>
        <rFont val="Arial"/>
        <family val="2"/>
      </rPr>
      <t>;</t>
    </r>
  </si>
  <si>
    <r>
      <rPr>
        <b/>
        <sz val="10"/>
        <rFont val="Arial"/>
        <family val="2"/>
      </rPr>
      <t>CO</t>
    </r>
    <r>
      <rPr>
        <sz val="10"/>
        <rFont val="Arial"/>
        <family val="2"/>
      </rPr>
      <t>: coach, for long distance journeys.</t>
    </r>
  </si>
  <si>
    <t>Ref_1, Table B.4 Classes of probability of exposure regarding duration in operational situations for T&amp;B</t>
  </si>
  <si>
    <t>Examples for driving in reverse</t>
  </si>
  <si>
    <t>LH, CB, CO, IB</t>
  </si>
  <si>
    <t>DI, VO</t>
  </si>
  <si>
    <t>Examples for overtaking another truck or bus with small speed difference (with lane change to oncoming lane)</t>
  </si>
  <si>
    <t>LH, DI, VO, CO, IB</t>
  </si>
  <si>
    <t>Examples for driving with trailer attached</t>
  </si>
  <si>
    <t>DI, CO, IB</t>
  </si>
  <si>
    <t>LH, VO</t>
  </si>
  <si>
    <t>Examples for semi-trailer tractor without trailer attached (on public road)</t>
  </si>
  <si>
    <t>LH, DI, VO</t>
  </si>
  <si>
    <t>Examples for driving on construction site (vehicle is driving directly on construction site, not only for delivering goods to construction site)</t>
  </si>
  <si>
    <t>LH</t>
  </si>
  <si>
    <t>DI</t>
  </si>
  <si>
    <t>VO</t>
  </si>
  <si>
    <t>Examples for steep slop</t>
  </si>
  <si>
    <t>LH, CB</t>
  </si>
  <si>
    <t>Examples for standig at bus stop</t>
  </si>
  <si>
    <t>CO</t>
  </si>
  <si>
    <t>CB, IB</t>
  </si>
  <si>
    <t>Examples for entering / driving off from bus stop</t>
  </si>
  <si>
    <t>NOTE  The informative examples in Table B.2 can be applied to T&amp;B, but are considered on a case by case basis. For situations occuring in both, Table B.2 and Table B.4, Table B.4 is considered more appropriate for T&amp;B.</t>
  </si>
  <si>
    <t>Ref_1, Table B.5 Classes of probability of exposure regarding frequency in operational situations for T&amp;B</t>
  </si>
  <si>
    <t>CB</t>
  </si>
  <si>
    <t>Examples for standing at / entering / driving off a bus stop</t>
  </si>
  <si>
    <t>CB, CO, IB</t>
  </si>
  <si>
    <t>NOTE  The informative examples in Table B.3 can be applied to T&amp;B, but are considered on a case by case basis. For situations occuring in both, Table B.3 and Table B.5, Table B.5 is considered more appropriate for T&amp;B.</t>
  </si>
  <si>
    <t>Controllability (s.a. Ref_1, B.4 Examples of controllability)</t>
  </si>
  <si>
    <t>Ref_1, Table B.6 Examples of possibly controllable hazardous events by the driver or by the persons potentially at risk</t>
  </si>
  <si>
    <t>Class of controllability</t>
  </si>
  <si>
    <t>C0</t>
  </si>
  <si>
    <t>C1</t>
  </si>
  <si>
    <t>C3</t>
  </si>
  <si>
    <t>Controllable in general</t>
  </si>
  <si>
    <t>Simply controllable</t>
  </si>
  <si>
    <t>Normally controllable</t>
  </si>
  <si>
    <t>Difficult to control or uncontrollable</t>
  </si>
  <si>
    <t>Driving factors and scenarios</t>
  </si>
  <si>
    <t>More than 99 % of the average drivers or other traffic participants are able to avoid harm</t>
  </si>
  <si>
    <t>Between 90 % and 99 % of the average drivers or other traffic participants are able to avoid harm</t>
  </si>
  <si>
    <t>Less than 90 % of the average drivers or other traffic participants are able to avoid harm</t>
  </si>
  <si>
    <t>Example situations that are considered distracting e.g. unexpected radio volume increase or warning message - fuel low</t>
  </si>
  <si>
    <t>Maintain intended driving path</t>
  </si>
  <si>
    <t>Example for unavailability of a driver assisting system that does not affect the safe operation of the vehicle</t>
  </si>
  <si>
    <t>Example for unintended closing of window while driving</t>
  </si>
  <si>
    <t>Remove arm from window</t>
  </si>
  <si>
    <t>Example for blocked steering column when accelerationg from standstill</t>
  </si>
  <si>
    <t>Brake to slow / stop vehicle</t>
  </si>
  <si>
    <t>Example for failure of ABS during emergency braking</t>
  </si>
  <si>
    <t>Example for propulsion failure at high lateral acceleration</t>
  </si>
  <si>
    <t>Example for inadvertent opening bus door while driving with passenger standing in doorway</t>
  </si>
  <si>
    <t>Passenger grabs hand rail to avoid falling out of bus</t>
  </si>
  <si>
    <t>Example for failure of brakes</t>
  </si>
  <si>
    <t>Steer away from objects in driving path</t>
  </si>
  <si>
    <t>Example for faulty driver airbag release when travelling at high speed</t>
  </si>
  <si>
    <t>Maintain intended driving path, stay in lane, or
brake to slow / stop vehicle</t>
  </si>
  <si>
    <t>Example for excessive trailer swing during braking potential for jacknifing</t>
  </si>
  <si>
    <t>Driver counter-steers and brakes in an attempt to maintain intended driving path</t>
  </si>
  <si>
    <t>Example for function with high automation where driver is not in the loop</t>
  </si>
  <si>
    <t>No attempt to maintain intended driving path</t>
  </si>
  <si>
    <t>NOTE 1  For C2 a feasible test scenario in accordance with RESPONSE 3 (see Reefrence [4]) is accepted as adequate: "Practical testing experience revealed that a number of 20 valid data sets per scenario can supply a basic indication of validity". If each of 20 data sets complies with a pass-criteria for the test., a level of controllability of 85 % (with a level of confidence of 95 % which is generally accepted for human factors tests) can be proven. This is appropriate evidence of the rationale for a C2-estimate.</t>
  </si>
  <si>
    <t>NOTE 2  For C1 a test provide a rationale that 99 % of the drivers "pass" the test in a certain traffic scenario might not be feasible because a large number of test subjects would be necessary as the appropriate evidence for such a rationale. Decision can be based on expert judgement.</t>
  </si>
  <si>
    <t>NOTE 3  As no controllability is assumed for category C3, it is not relevant to have appropriate evidence of the rationale for such a classification.</t>
  </si>
  <si>
    <t>NOTE 4  The informative examples in Table B.6 can be applied to passenger cars and T&amp;B vehicles, but are considered on a case-by-case basis.</t>
  </si>
  <si>
    <t>Basic situation catalog for HARA  [REF_4]</t>
  </si>
  <si>
    <t>Category</t>
  </si>
  <si>
    <t>Description of the situation</t>
  </si>
  <si>
    <t>E-Rating
(Time Domain)</t>
  </si>
  <si>
    <t>E-Rating
(Frequency Domain)</t>
  </si>
  <si>
    <t>Traffic domains</t>
  </si>
  <si>
    <t>Driving in/on/through/over …</t>
  </si>
  <si>
    <t>VD (Verkehrsdomäne)</t>
  </si>
  <si>
    <t>VD001</t>
  </si>
  <si>
    <t>Entertainment street/ traffic-calmed zone (Shared Zone)</t>
  </si>
  <si>
    <t>Speed limit  vmax &lt; 15 km/h ("Walking speed")</t>
  </si>
  <si>
    <t>VD002</t>
  </si>
  <si>
    <t>Residential Street</t>
  </si>
  <si>
    <t>Speed limit  vmax &lt; 30 km/h "Tempo30-Zone"</t>
  </si>
  <si>
    <t>VD003</t>
  </si>
  <si>
    <t>City Road</t>
  </si>
  <si>
    <t>Speed limit  vmax &lt; 50 km/h "City traffic"</t>
  </si>
  <si>
    <t>VD004</t>
  </si>
  <si>
    <t>Thoroughfares, access and arterial roads (Arterial Thoroughfare)</t>
  </si>
  <si>
    <t>Speed limit  vmax &lt; 70 km/h "Arterial roads"</t>
  </si>
  <si>
    <t>VD005</t>
  </si>
  <si>
    <t>Rural Road</t>
  </si>
  <si>
    <t>Speed limit  vmax &lt; 100 km/h "Rural Road"</t>
  </si>
  <si>
    <t>VD006</t>
  </si>
  <si>
    <t>Highway/expressway</t>
  </si>
  <si>
    <t>Speed limit  vmax &gt;= 100 km possible</t>
  </si>
  <si>
    <t>VD007</t>
  </si>
  <si>
    <t>Highway entrance</t>
  </si>
  <si>
    <t>VD008</t>
  </si>
  <si>
    <t>Highway exit</t>
  </si>
  <si>
    <t>VD009</t>
  </si>
  <si>
    <t>Passing the highway entrance or exit</t>
  </si>
  <si>
    <t>VD010</t>
  </si>
  <si>
    <t>Highway splits into two lanes</t>
  </si>
  <si>
    <t>VD011</t>
  </si>
  <si>
    <t>Toll station (incl. funnel in front of toll booth)</t>
  </si>
  <si>
    <t>VD012</t>
  </si>
  <si>
    <t>emergency lane, which is released for traffic via dynamic traffic signs</t>
  </si>
  <si>
    <t>VD013</t>
  </si>
  <si>
    <t>Parking in garage with direct access to living area</t>
  </si>
  <si>
    <t>VD014</t>
  </si>
  <si>
    <t>Tunnel</t>
  </si>
  <si>
    <t>VD015</t>
  </si>
  <si>
    <t>Mountain pass road</t>
  </si>
  <si>
    <t>VD016</t>
  </si>
  <si>
    <t>Intersection or traffic circle</t>
  </si>
  <si>
    <t>VD017</t>
  </si>
  <si>
    <t>Construction site area (highway) with structural separation</t>
  </si>
  <si>
    <t>VD018</t>
  </si>
  <si>
    <t>Construction site area (highway) without structural separation</t>
  </si>
  <si>
    <t>VD019</t>
  </si>
  <si>
    <t>Railroad crossing</t>
  </si>
  <si>
    <t>VD020</t>
  </si>
  <si>
    <t>Field and forest path</t>
  </si>
  <si>
    <t>"Off-Road"</t>
  </si>
  <si>
    <t>VD021</t>
  </si>
  <si>
    <t>Bicycle lane (Bicycles have right of way)</t>
  </si>
  <si>
    <t>Roadway condition</t>
  </si>
  <si>
    <t>Driving on …</t>
  </si>
  <si>
    <t>FB (Fahrbahn-beschaffenheit )</t>
  </si>
  <si>
    <t>(coefficient of friction and gradient)</t>
  </si>
  <si>
    <t>FB001</t>
  </si>
  <si>
    <t>slight gradient/on a slight slope up to 2% gradient</t>
  </si>
  <si>
    <t>FB002</t>
  </si>
  <si>
    <t>medium gradient/on a medium slope with a gradient &gt; 2%</t>
  </si>
  <si>
    <t>FB003</t>
  </si>
  <si>
    <t>steep gradient/on a steep slope with a gradient &gt; 8%</t>
  </si>
  <si>
    <t>FB004</t>
  </si>
  <si>
    <t>Grit</t>
  </si>
  <si>
    <t>FB005</t>
  </si>
  <si>
    <t>normal coefficient of friction</t>
  </si>
  <si>
    <t>Dry, flat roads</t>
  </si>
  <si>
    <t>FB006</t>
  </si>
  <si>
    <t>reduced coefficient of friction µ &lt; 0.8</t>
  </si>
  <si>
    <t>Wet conditions, ruts, chippings</t>
  </si>
  <si>
    <t>FB007</t>
  </si>
  <si>
    <t>low coefficient of friction µ &lt; 0.5</t>
  </si>
  <si>
    <t>Snow, ice</t>
  </si>
  <si>
    <t>FB008</t>
  </si>
  <si>
    <t>Roads with µ-split (deviation left/right &gt; 0.3)</t>
  </si>
  <si>
    <t>FB009</t>
  </si>
  <si>
    <t>Roads with µ-jump (Delta-µ &gt; 0.3)</t>
  </si>
  <si>
    <t>FB010</t>
  </si>
  <si>
    <t>Roads with vertical vibration on the wheel</t>
  </si>
  <si>
    <t>e.g. cobblestones, bumps, potholes</t>
  </si>
  <si>
    <t>FB011</t>
  </si>
  <si>
    <t>Cobblestones</t>
  </si>
  <si>
    <t>FB012</t>
  </si>
  <si>
    <t>Rails on the road</t>
  </si>
  <si>
    <t xml:space="preserve">Weather and visibility </t>
  </si>
  <si>
    <t>Driving in …</t>
  </si>
  <si>
    <t>WS (Witterung und Sicht )</t>
  </si>
  <si>
    <t>Driving under the following environmental conditions</t>
  </si>
  <si>
    <t>(Reference country for classification is DE)</t>
  </si>
  <si>
    <t>WS001</t>
  </si>
  <si>
    <t>Driving in hailstorms</t>
  </si>
  <si>
    <t>WS002</t>
  </si>
  <si>
    <t>Driving in snowfall</t>
  </si>
  <si>
    <t>WS003</t>
  </si>
  <si>
    <t>Driving in (light) rain (up to 1 l/h/m2)</t>
  </si>
  <si>
    <t>WS004</t>
  </si>
  <si>
    <t>Driving in the rain (&gt;1 l/h/m2)</t>
  </si>
  <si>
    <t>WS005</t>
  </si>
  <si>
    <t>Driving in (heavy) rain (&gt; 20 l/h/m2)</t>
  </si>
  <si>
    <t>WS006</t>
  </si>
  <si>
    <t>Driving in (very heavy) rain (&gt; 25 l/h/m2)</t>
  </si>
  <si>
    <t>WS007</t>
  </si>
  <si>
    <t xml:space="preserve">Driving in the dark without residual light </t>
  </si>
  <si>
    <t>WS008</t>
  </si>
  <si>
    <t xml:space="preserve">Driving in the dark with residual light </t>
  </si>
  <si>
    <t>WS009</t>
  </si>
  <si>
    <t>Driving in poor visibility (visibility &lt; 150 m)</t>
  </si>
  <si>
    <t>WS010</t>
  </si>
  <si>
    <t>Driving in poor visibility (visibility &lt; 50 m)</t>
  </si>
  <si>
    <t>WS011</t>
  </si>
  <si>
    <t>Driving in strong crosswinds</t>
  </si>
  <si>
    <t>Counter-steering is necessary to stay on track</t>
  </si>
  <si>
    <t>Driving dynamic behavior</t>
  </si>
  <si>
    <t>Driving with …</t>
  </si>
  <si>
    <t>FA (Fahrdynamisches Verhalten )</t>
  </si>
  <si>
    <t>Speed, longitudinal acceleration, deceleration, lateral acceleration</t>
  </si>
  <si>
    <t>FA001</t>
  </si>
  <si>
    <t>Driving with speed v &lt;= 130 km/h</t>
  </si>
  <si>
    <t>(city traffic and country road journeys)</t>
  </si>
  <si>
    <t>FA002</t>
  </si>
  <si>
    <t>Driving with speed v &gt; 130 km/h</t>
  </si>
  <si>
    <t>Highway driving</t>
  </si>
  <si>
    <t>FA003</t>
  </si>
  <si>
    <t>Driving with speed v &gt; 180 km/h</t>
  </si>
  <si>
    <t>FA004</t>
  </si>
  <si>
    <t>Driving with speed v &gt; 200 km/h</t>
  </si>
  <si>
    <t>FA005</t>
  </si>
  <si>
    <t>Driving with speed 0 &lt; v &lt;= 15 km/h</t>
  </si>
  <si>
    <t>Slow driving / starting (crossroads, traffic lights, stop-and-go)</t>
  </si>
  <si>
    <t>FA006</t>
  </si>
  <si>
    <t>Driving with acceleration 0 &lt; ax &lt;= 1.5 m/s2</t>
  </si>
  <si>
    <t>Longitudinal acceleration during driving</t>
  </si>
  <si>
    <t>FA007</t>
  </si>
  <si>
    <t>Driving with acceleration 1.5 &lt; ax &lt;= 3.0 m/s2</t>
  </si>
  <si>
    <t>FA008</t>
  </si>
  <si>
    <t>Driving with acceleration 3.0 &lt; ax &lt;= 4.0 m/s2</t>
  </si>
  <si>
    <t>FA009</t>
  </si>
  <si>
    <t>Driving with acceleration ax &gt; 4.0 m/s2</t>
  </si>
  <si>
    <t>Longitudinal acceleration during driving: full load acceleration for a few seconds (e.g. 0-100 km/h in 8 s)</t>
  </si>
  <si>
    <t>FA010</t>
  </si>
  <si>
    <t>Starting with acceleration 0 &lt; ax &lt;= 4.0 m/s2</t>
  </si>
  <si>
    <t>Starting at traffic lights or restarting at stop-and-go</t>
  </si>
  <si>
    <t>FA011</t>
  </si>
  <si>
    <t>Starting with acceleration 4.0 &lt; ax &lt;= 7.0 m/s2</t>
  </si>
  <si>
    <t>Full gas, e.g. start of an overtaking maneuver</t>
  </si>
  <si>
    <t>FA012</t>
  </si>
  <si>
    <t>Starting with acceleration 7.0 &lt; ax &lt;= 10.0 m/s2</t>
  </si>
  <si>
    <t>Quick start with all-wheel drive</t>
  </si>
  <si>
    <t>FA013</t>
  </si>
  <si>
    <t>Starting with acceleration ax &gt; 10.0 m/s2</t>
  </si>
  <si>
    <t>Race start with four-wheel drive and high-powered vehicles</t>
  </si>
  <si>
    <t>FA014</t>
  </si>
  <si>
    <t>Driving with deceleration 0 &lt; ax &lt;= 1.5 m/s2</t>
  </si>
  <si>
    <t>Comfortable stopping</t>
  </si>
  <si>
    <t>FA015</t>
  </si>
  <si>
    <t>Driving with deceleration 1.5 &lt; ax &lt;= 3.0 m/s2</t>
  </si>
  <si>
    <t>Deceleration before curve</t>
  </si>
  <si>
    <t>FA016</t>
  </si>
  <si>
    <t>Driving with deceleration 3.0 &lt; ax &lt;= 4.0 m/s2</t>
  </si>
  <si>
    <t>Deceleration with a closing curve</t>
  </si>
  <si>
    <t>FA017</t>
  </si>
  <si>
    <t>Driving with deceleration ax &gt; 4.0 m/s2</t>
  </si>
  <si>
    <t>FA018</t>
  </si>
  <si>
    <t>Decelerations 0 &lt; ax &lt;= 4.0 m/s2</t>
  </si>
  <si>
    <t>FA019</t>
  </si>
  <si>
    <t>Decelerations 4.0 &lt; ax &lt;= 6.0 m/s2</t>
  </si>
  <si>
    <t>FA020</t>
  </si>
  <si>
    <t>Decelerations 6.0 &lt; ax &lt;= 8.0 m/s2</t>
  </si>
  <si>
    <t>FA021</t>
  </si>
  <si>
    <t>Decelerations ax &gt; 8.0 m/s2</t>
  </si>
  <si>
    <t>Emergency braking</t>
  </si>
  <si>
    <t>FA022</t>
  </si>
  <si>
    <t>Driving with lateral acceleration 0 &lt; ay &lt;= 1.5 m/s2</t>
  </si>
  <si>
    <t>FA023</t>
  </si>
  <si>
    <t>Driving with lateral acceleration 1.5 &lt; ay &lt;= 3.5 m/s2</t>
  </si>
  <si>
    <t>FA024</t>
  </si>
  <si>
    <t>Driving with lateral acceleration 3.5 &lt; ay &lt;= 5.0 m/s2</t>
  </si>
  <si>
    <t>FA025</t>
  </si>
  <si>
    <t>Driving with lateral acceleration ay &gt; 5.0 m/s2</t>
  </si>
  <si>
    <t>FA026</t>
  </si>
  <si>
    <t>Lateral acceleration 0 &lt; ay &lt;= 4.0 m/s2</t>
  </si>
  <si>
    <t>FA027</t>
  </si>
  <si>
    <t>Lateral acceleration 4.0 &lt; ay &lt;= 6.0 m/s2</t>
  </si>
  <si>
    <t>FA028</t>
  </si>
  <si>
    <t>Lateral acceleration 6.0 &lt; ay &lt;= 8.0 m/s2</t>
  </si>
  <si>
    <t>FA029</t>
  </si>
  <si>
    <t>Decelerations ay &gt; 8.0 m/s2</t>
  </si>
  <si>
    <t>FA030</t>
  </si>
  <si>
    <t>Executing a lane change (from leaving your own lane until the vehicle is completely in the target lane)</t>
  </si>
  <si>
    <t>multi-lane road / highway driving</t>
  </si>
  <si>
    <t>FA031</t>
  </si>
  <si>
    <t>Executing a fast (incl. forced) lane change (incl. evasive maneuver)</t>
  </si>
  <si>
    <t xml:space="preserve">E1 </t>
  </si>
  <si>
    <t>e.g. collision avoidance, emergency evasive action, merging at high differential speed</t>
  </si>
  <si>
    <t>FA032</t>
  </si>
  <si>
    <t>Fast passing of significantly slower vehicles in the adjacent lane</t>
  </si>
  <si>
    <t>(normal overtaking procedures, e.g. on trucks, are not meant here - see FA037)</t>
  </si>
  <si>
    <t>FA033</t>
  </si>
  <si>
    <t>Reversing (v &lt;= 10 km/h)</t>
  </si>
  <si>
    <t>Reversing incl. parking</t>
  </si>
  <si>
    <t>FA034</t>
  </si>
  <si>
    <t>Reversing (v &gt; 0 km/h)</t>
  </si>
  <si>
    <t>Occurs on almost every reverse drive …</t>
  </si>
  <si>
    <t>FA035</t>
  </si>
  <si>
    <t>Deceleration during a reverse movement with ax &lt;= 3.0 m/s2</t>
  </si>
  <si>
    <t>FA036</t>
  </si>
  <si>
    <t>Deceleration during a reverse movement with ax &gt; 3.0 m/s2</t>
  </si>
  <si>
    <t>Braking for crossing vehicles or people behind the vehicle</t>
  </si>
  <si>
    <t>FA037</t>
  </si>
  <si>
    <t>Performing an overtaking maneuver (only overtaking maneuver with lane change to oncoming lane)</t>
  </si>
  <si>
    <t>(for automatic and manual switching operations)</t>
  </si>
  <si>
    <t>FA038</t>
  </si>
  <si>
    <t>Performing a gear change</t>
  </si>
  <si>
    <t>FA039</t>
  </si>
  <si>
    <t>Driving with gear disengaged or clutch depressed (manual gearshift)</t>
  </si>
  <si>
    <t>FA040</t>
  </si>
  <si>
    <t>Driving with active direction indicator (exclusive standing)</t>
  </si>
  <si>
    <t>Flashing warning lights are not part of the situation</t>
  </si>
  <si>
    <t>FA041</t>
  </si>
  <si>
    <t>Turning (from leaving your own lane until the vehicle is completely on the crossroad)</t>
  </si>
  <si>
    <t>Estimated time range:
approx. 20 turns/drive per 2s …</t>
  </si>
  <si>
    <t>FA042</t>
  </si>
  <si>
    <t>Turning into the oncoming lane (from leaving your own lane until the vehicle is completely in the destination lane) in heavy oncoming traffic</t>
  </si>
  <si>
    <t>Traffic density is influenced by the distance between oncoming vehicles and their speed.</t>
  </si>
  <si>
    <t>FA043</t>
  </si>
  <si>
    <t>Driving with inactive stability assistance (ESP)</t>
  </si>
  <si>
    <t>(Driver deactivates the move function)</t>
  </si>
  <si>
    <t>Parking &amp; Stop</t>
  </si>
  <si>
    <t>PH (Parken &amp; Halten)</t>
  </si>
  <si>
    <t>Parking, stopping (incl. maneuvering)</t>
  </si>
  <si>
    <t>PH001</t>
  </si>
  <si>
    <t>Parking and pulling out with a trailer</t>
  </si>
  <si>
    <t>Parking alongside and perpendicular to the lane</t>
  </si>
  <si>
    <t>PH002</t>
  </si>
  <si>
    <t>Parking or stopping: Driver in vehicle</t>
  </si>
  <si>
    <t>(without traffic-related stops)</t>
  </si>
  <si>
    <t>PH003</t>
  </si>
  <si>
    <t>Parking or stopping: Driver not in vehicle</t>
  </si>
  <si>
    <t>PH004</t>
  </si>
  <si>
    <t>Parking or stopping: Driver not in vehicle, but passengers in vehicle</t>
  </si>
  <si>
    <t>PH005</t>
  </si>
  <si>
    <t>Parking or pulling out</t>
  </si>
  <si>
    <t>Parking: From the start of the parking process (setting the blinker) until the vehicle comes to a standstill in the parking position;
Pulling out: From leaving the parking position to leaving the parking space completely</t>
  </si>
  <si>
    <t>PH006</t>
  </si>
  <si>
    <t>Parking or pulling out in the longitudinal direction of the lane</t>
  </si>
  <si>
    <t>PH007</t>
  </si>
  <si>
    <t>Parking or pulling out in a direction perpendicular to the lane</t>
  </si>
  <si>
    <t>PH008</t>
  </si>
  <si>
    <t>Stop: roadside in the city</t>
  </si>
  <si>
    <t>PH009</t>
  </si>
  <si>
    <t>Parking: roadside in the city</t>
  </si>
  <si>
    <t>PH010</t>
  </si>
  <si>
    <t>Parking or stopping: Roadside on country road</t>
  </si>
  <si>
    <t>PH011</t>
  </si>
  <si>
    <t>Parking or stopping: Hard shoulder on highway</t>
  </si>
  <si>
    <t>PH012</t>
  </si>
  <si>
    <t>Parking or stopping: 5% &lt; slope &lt;= 8%</t>
  </si>
  <si>
    <t>(all driving locations, slope in focus)</t>
  </si>
  <si>
    <t>PH013</t>
  </si>
  <si>
    <t>Parking or stopping: 8% &lt; slope &lt;= 15%</t>
  </si>
  <si>
    <t>PH014</t>
  </si>
  <si>
    <t>Parking or stopping: Slope &gt; 15%</t>
  </si>
  <si>
    <t>PH015</t>
  </si>
  <si>
    <t>Stopping on the road due to traffic conditions</t>
  </si>
  <si>
    <t>PH016</t>
  </si>
  <si>
    <t>Traffic-related stopping on the road with vehicle in front and pedestrians between the vehicles</t>
  </si>
  <si>
    <t>PH017</t>
  </si>
  <si>
    <t>Traffic-related stopping on the road in first place (without front vehicle)</t>
  </si>
  <si>
    <t>regardless of whether there are people in front of the vehicle</t>
  </si>
  <si>
    <t>Stop driving</t>
  </si>
  <si>
    <t>Get off, stop driving</t>
  </si>
  <si>
    <t>AB (Fahrt beenden)</t>
  </si>
  <si>
    <t>AB001</t>
  </si>
  <si>
    <t>Driver unbuckles his seatbelt</t>
  </si>
  <si>
    <t>from opening the belt buckle until the belt is no longer in front of the body</t>
  </si>
  <si>
    <t>AB002</t>
  </si>
  <si>
    <t>Driver leaves parked or stopped vehicle (getting out)</t>
  </si>
  <si>
    <t>Time from the end of unbuckling to the closing of the driver's door (driver has got out)</t>
  </si>
  <si>
    <t>Perephery / environment</t>
  </si>
  <si>
    <t>PU (Perepherie / Umfeld)</t>
  </si>
  <si>
    <t>Environment of the ego vehicle</t>
  </si>
  <si>
    <t>PU001</t>
  </si>
  <si>
    <t>Persons on the roof or hood (sitting/standing)</t>
  </si>
  <si>
    <t>PU002</t>
  </si>
  <si>
    <t>Persons on the roadway (excl. expressways)</t>
  </si>
  <si>
    <t>e.g. traffic lights, crosswalk, getting out of a parked vehicle, construction work in a roadworks area, congestion in city traffic</t>
  </si>
  <si>
    <t>PU003</t>
  </si>
  <si>
    <t xml:space="preserve">People on the carriageway of an expressway </t>
  </si>
  <si>
    <t>e.g. highway</t>
  </si>
  <si>
    <t>PU004</t>
  </si>
  <si>
    <t>Persons in the danger zone (&lt; 2 m) of a parked, maneuvering, slow-moving vehicle</t>
  </si>
  <si>
    <t>(Persons outside the ego vehicle)</t>
  </si>
  <si>
    <t>PU005</t>
  </si>
  <si>
    <t>Persons in the danger zone (up to one vehicle length) of a moving vehicle</t>
  </si>
  <si>
    <t>VRU - Vulnerable road users (pedestrians, cyclists and motorcyclists)</t>
  </si>
  <si>
    <t>PU006</t>
  </si>
  <si>
    <t>Driver on an avenue of trees</t>
  </si>
  <si>
    <t>Roadway bordered on both sides by rows of trees</t>
  </si>
  <si>
    <t>PU007</t>
  </si>
  <si>
    <t>Driving through a narrow section</t>
  </si>
  <si>
    <t>e.g. construction site on highway, obstacle on vehicle on the roadway</t>
  </si>
  <si>
    <t>PU008</t>
  </si>
  <si>
    <t>Traffic jam / slow-moving traffic highway/country road</t>
  </si>
  <si>
    <t>PU009</t>
  </si>
  <si>
    <t>Traffic jam in the city</t>
  </si>
  <si>
    <t>PU010</t>
  </si>
  <si>
    <t>Approaching the end of a traffic jam from freeway</t>
  </si>
  <si>
    <t>A sudden end of a traffic jam, high delta speed to the current free movement</t>
  </si>
  <si>
    <t>PU011</t>
  </si>
  <si>
    <t>Driving on the road along an embankment</t>
  </si>
  <si>
    <t>Height difference at least 1 m</t>
  </si>
  <si>
    <t>PU012</t>
  </si>
  <si>
    <t>Emergency vehicle with activated warning light drives on its own lane</t>
  </si>
  <si>
    <t>The situation only relates to emergency vehicles that are in use (warning light).</t>
  </si>
  <si>
    <t>PU013</t>
  </si>
  <si>
    <t>Driving on a straight road with reduced visibility due to crest/sink (less than 150m)</t>
  </si>
  <si>
    <t>Driving distance between reaching a visibility &lt; = 150m and the subsequent crossing of the crest (removal of the visibility restriction).</t>
  </si>
  <si>
    <t>PU014</t>
  </si>
  <si>
    <t>Streetcar on the carriageway</t>
  </si>
  <si>
    <t>Streetcar crosses roadway …</t>
  </si>
  <si>
    <t>PU015</t>
  </si>
  <si>
    <t>Follow-up drive with normal distance</t>
  </si>
  <si>
    <t>Distance &gt;= guide value 1/2 speedometer, i.e. at 50 km/h minimum distance of 25 m applies</t>
  </si>
  <si>
    <t>PU016</t>
  </si>
  <si>
    <t>Follow-up drive with a short distance</t>
  </si>
  <si>
    <t>Distance &lt; 1/2 speedometer, i.e. at 50 km/h the distance would be &lt; 25 m</t>
  </si>
  <si>
    <t>PU017</t>
  </si>
  <si>
    <t xml:space="preserve">Follow-up drive with a very small distance </t>
  </si>
  <si>
    <t>Distance &lt; 1/4 speedometer, i.e. at 50 km/h the distance would be &lt; 12.5 m</t>
  </si>
  <si>
    <t>PU018</t>
  </si>
  <si>
    <t xml:space="preserve">Follow-up drive with extremely small distance </t>
  </si>
  <si>
    <t>Distance &lt; 1/8 speedometer, i.e. at 50 km/h distance would be &lt; 6.25 m</t>
  </si>
  <si>
    <t>PU019</t>
  </si>
  <si>
    <t>Driving past parked cars on the roadside</t>
  </si>
  <si>
    <t>PU020</t>
  </si>
  <si>
    <t>Driving behind a turning or leaving vehicle</t>
  </si>
  <si>
    <t>From the point at which the vehicle in front indicates its intention (by setting its indicators) until it leaves its own lane completely</t>
  </si>
  <si>
    <t>PU021</t>
  </si>
  <si>
    <t>Vehicle cuts in front of another vehicle</t>
  </si>
  <si>
    <t>From the time at which the turning vehicle begins the process until it is completely in the lane of one vehicle.</t>
  </si>
  <si>
    <t>Situationskatalog für GuR  [VDA 702 Version 1]</t>
  </si>
  <si>
    <t>Zweck des Dokuments</t>
  </si>
  <si>
    <t>E-Bewertung
(Zeitbereich)</t>
  </si>
  <si>
    <t>E-Bewertung
(Frequ.bereich)</t>
  </si>
  <si>
    <t>VDA-702-ID</t>
  </si>
  <si>
    <t>Verkehrsort mit E-Wert</t>
  </si>
  <si>
    <t>Verkehrsort</t>
  </si>
  <si>
    <t>Fahren auf / in …</t>
  </si>
  <si>
    <t>Autobahn</t>
  </si>
  <si>
    <t>FO010</t>
  </si>
  <si>
    <t>Autobahn/Landstrasse</t>
  </si>
  <si>
    <t>FO010/FO040</t>
  </si>
  <si>
    <t>Autobahnauffahrt/-abfahrt</t>
  </si>
  <si>
    <t>FO020/FO030</t>
  </si>
  <si>
    <t>Landstrasse/Schnellstrasse</t>
  </si>
  <si>
    <t>FO040</t>
  </si>
  <si>
    <t>Stadtverkehr</t>
  </si>
  <si>
    <t>FO050</t>
  </si>
  <si>
    <t>Passstrasse</t>
  </si>
  <si>
    <t>FO060</t>
  </si>
  <si>
    <t>Verkehrsberuhigter Bereich</t>
  </si>
  <si>
    <t>FO070</t>
  </si>
  <si>
    <t>Tempo-30-Zone</t>
  </si>
  <si>
    <t>FO080</t>
  </si>
  <si>
    <t>Baustellenbereich (Autobahn) mit baulicher Trennung</t>
  </si>
  <si>
    <t>--</t>
  </si>
  <si>
    <t>FO090</t>
  </si>
  <si>
    <t>Baustellenbereich (Autobahn) ohne bauliche Trennung</t>
  </si>
  <si>
    <t>FO100</t>
  </si>
  <si>
    <t>FO110</t>
  </si>
  <si>
    <t>Bahnübergang</t>
  </si>
  <si>
    <t>FO120</t>
  </si>
  <si>
    <t>Straßenrand Stadt</t>
  </si>
  <si>
    <t>SO030</t>
  </si>
  <si>
    <t>Parkplatz / Parkhaus /
Garage</t>
  </si>
  <si>
    <t>SO020</t>
  </si>
  <si>
    <t>SO010</t>
  </si>
  <si>
    <t>VDA 702 - Situationskatalog</t>
  </si>
  <si>
    <t>Strassenzustand mit E-Wert</t>
  </si>
  <si>
    <t>Strassenzustand / Umwelt</t>
  </si>
  <si>
    <t>Fahren unter folgenden Bedingungen …</t>
  </si>
  <si>
    <t>normaler Reibwert (µ &gt; 0,8)</t>
  </si>
  <si>
    <t>FS010</t>
  </si>
  <si>
    <t>reduzierter Reibwert (0,5 &lt; µ &lt; 0,8)</t>
  </si>
  <si>
    <t>FS020</t>
  </si>
  <si>
    <t>niedriger Reibwert (µ &lt; 0,5)</t>
  </si>
  <si>
    <t>FS030</t>
  </si>
  <si>
    <t>µ-Split-Situation</t>
  </si>
  <si>
    <t>FS040</t>
  </si>
  <si>
    <t>µ-Sprung-Situation</t>
  </si>
  <si>
    <t>FS050</t>
  </si>
  <si>
    <t>Fahrbahnunebenheiten</t>
  </si>
  <si>
    <t>FS090</t>
  </si>
  <si>
    <t>Fahren bei Dunkelheit ohne Restlicht</t>
  </si>
  <si>
    <t>FU020</t>
  </si>
  <si>
    <t>Fahren bei Dunkelheit mit Restlicht</t>
  </si>
  <si>
    <t>FU030</t>
  </si>
  <si>
    <t xml:space="preserve">Fahren bei schlechter Sicht </t>
  </si>
  <si>
    <t>FU010</t>
  </si>
  <si>
    <t>Verkehrssituation mit E-Wert</t>
  </si>
  <si>
    <t>Verkehrssituation (Fahrmanöver)</t>
  </si>
  <si>
    <t>(in Bezug aus Ego-Fahrzeug)</t>
  </si>
  <si>
    <t>Freie Fahrt</t>
  </si>
  <si>
    <t>FV100</t>
  </si>
  <si>
    <t>Folgefahrt (normaler Abstand)</t>
  </si>
  <si>
    <t>FV110</t>
  </si>
  <si>
    <t>Folgefahrt (geringer Abstand)</t>
  </si>
  <si>
    <t>Abschätzung</t>
  </si>
  <si>
    <t>(Links-)Abbiegen (normaler Abstand)</t>
  </si>
  <si>
    <t>FV090</t>
  </si>
  <si>
    <t>(Links-)Abbiegen (geringer Abstand)</t>
  </si>
  <si>
    <t>Kreuzung überqueren (normaler Abstand)</t>
  </si>
  <si>
    <t>FV080</t>
  </si>
  <si>
    <t>Kreuzung überqueren (geringer Abstand)</t>
  </si>
  <si>
    <t>Spurwechsel (normal)</t>
  </si>
  <si>
    <t>FB150</t>
  </si>
  <si>
    <t>Spurwechsel (riskant)</t>
  </si>
  <si>
    <t>Überholgen mit Gegenverkehr (normaler Abstand)</t>
  </si>
  <si>
    <t>FB170</t>
  </si>
  <si>
    <t>Überholen mit Gegenverkehr (geringer Abstand)</t>
  </si>
  <si>
    <t>Ein- bzw. Ausparken</t>
  </si>
  <si>
    <t>FV010</t>
  </si>
  <si>
    <t>Ein- bzw. Ausparken in Längsrichtung</t>
  </si>
  <si>
    <t>FV020</t>
  </si>
  <si>
    <t>Ein- bzw. Ausparken in Querrichtung</t>
  </si>
  <si>
    <t>FV030</t>
  </si>
  <si>
    <t>Halten an Stoppschild, Ampel, Zebrasteifen …</t>
  </si>
  <si>
    <t>FV060</t>
  </si>
  <si>
    <t>Halten an Stoppschild, Ampel, Zebrasteifen an erster Stelle</t>
  </si>
  <si>
    <t>FV070</t>
  </si>
  <si>
    <t>Halten an Steigung (&lt; 2%)</t>
  </si>
  <si>
    <t>VW-Bewertung</t>
  </si>
  <si>
    <t>Halten an Hang (2% bis 8%)</t>
  </si>
  <si>
    <t>FV040</t>
  </si>
  <si>
    <t>Halten an Hang (&gt; 8%)</t>
  </si>
  <si>
    <t>FV050</t>
  </si>
  <si>
    <t>Langsames Fahren / Anfahrvorgang (0 &lt; x &lt; 12km/h)</t>
  </si>
  <si>
    <t>FB040</t>
  </si>
  <si>
    <t>Fahren mit Anhänger</t>
  </si>
  <si>
    <t>FX010</t>
  </si>
  <si>
    <t>Fahrdynamik mit E-Wert</t>
  </si>
  <si>
    <t>Fahrdynamischer Zustand (Längs- und Querdynamik)</t>
  </si>
  <si>
    <t>Langsames Fahren / Anfahrvorgang (0 &lt; x &lt; 15 km/h)</t>
  </si>
  <si>
    <t>Fahren (v &lt; 30 km/h)</t>
  </si>
  <si>
    <t>(vgl. FO080)</t>
  </si>
  <si>
    <t>Fahren (30 &lt; v &lt; 50 km/h)</t>
  </si>
  <si>
    <t>(vgl. FO050)</t>
  </si>
  <si>
    <t>Fahren (60 &lt; v &lt; 120 km/h)</t>
  </si>
  <si>
    <t>(vgl. FO040)</t>
  </si>
  <si>
    <t>Fahren (v bis 130 km/h)</t>
  </si>
  <si>
    <t>Fahren (v &gt; 130 km/h)</t>
  </si>
  <si>
    <t>Fahren (v &gt; 180 km/h)</t>
  </si>
  <si>
    <t>FB020</t>
  </si>
  <si>
    <t>Fahren (v &gt; 200 km/h)</t>
  </si>
  <si>
    <t>FB030</t>
  </si>
  <si>
    <t xml:space="preserve">Beschleunigen (normal, a &lt; 2 m/s2) </t>
  </si>
  <si>
    <t>FB090</t>
  </si>
  <si>
    <t>Beschleunigen (mittel, 2 m/s2 &lt; a &lt; 4 m/s")</t>
  </si>
  <si>
    <t>FB100</t>
  </si>
  <si>
    <t>Beschleunigen (stark, a &gt; 4 m/s2)</t>
  </si>
  <si>
    <t>FB110</t>
  </si>
  <si>
    <t xml:space="preserve">Verzögern (normal, - 2,44m/s2 &lt; a &lt; 0) </t>
  </si>
  <si>
    <t>Audi E-Werte</t>
  </si>
  <si>
    <t xml:space="preserve">Verzögern (mittel,  - 4 m/s2 &lt; a &lt; - 2,44 m/s2) </t>
  </si>
  <si>
    <t xml:space="preserve">Verzögern (stark, - 6,5 m/s2 &lt; a &lt; - 4,0 m/s2) </t>
  </si>
  <si>
    <t xml:space="preserve">Verzögern (Notbremsung, a &lt; - 6,5 m/s2) </t>
  </si>
  <si>
    <t>Fahrzeug anfahrbereit</t>
  </si>
  <si>
    <t>Fahrzeug steht</t>
  </si>
  <si>
    <t>nicht betätigtes Fahrpedal (Schubbetrieb) 
oder während Schubrekuperation</t>
  </si>
  <si>
    <t>Normale Querbeschleunigung (ay &lt; 3 m/s²)</t>
  </si>
  <si>
    <t>Erhöhte Querbeschleunigung (3 m/s² &lt; ay &lt; 5 m/s²)</t>
  </si>
  <si>
    <t>Hohe Querbeschleunigung (5 m/s² &lt; ay &lt; 7 m/s²)</t>
  </si>
  <si>
    <t>Sehr hohe Querbeschleunigung (ay &gt; 7 m/s²)</t>
  </si>
  <si>
    <t>Verrollen mit vmax &lt; 30 km/h @ freie Verrollstrecke 10-40 m</t>
  </si>
  <si>
    <t>VW Abschätzung</t>
  </si>
  <si>
    <t>Verrollen mit vmax &gt; 30 km/h @ freie Verrollstrecke &gt; 40 m</t>
  </si>
  <si>
    <t>Verrollen mit vmax &gt; 30 km/h @ freie Verrollstrecke 10-40 m</t>
  </si>
  <si>
    <t>Verzögertes Verrollen mit vmax &lt; 15 km/h @ freie Verrollstrecke 10-40 m</t>
  </si>
  <si>
    <t>Gefährdete Personen</t>
  </si>
  <si>
    <t>Personen in einem Fahrzeug</t>
  </si>
  <si>
    <t>Insassen des eigenen und anderes Fzg.</t>
  </si>
  <si>
    <t>XP010</t>
  </si>
  <si>
    <t>Andere Verkehrsteilnehmer (z.B. Radfahrer, Fussgänger)</t>
  </si>
  <si>
    <t>Personen im Gefahrenbereich (ca. 1 Fahrzeuglänge)</t>
  </si>
  <si>
    <t>Personen im engen Gefahrenbereich (ca. 2 m Abstand)</t>
  </si>
  <si>
    <t>Basic situation catalog for HARA [REF-4]</t>
  </si>
  <si>
    <t>Situation catalog</t>
  </si>
  <si>
    <t>Valuation (time range)</t>
  </si>
  <si>
    <t>Rating (frequency range)</t>
  </si>
  <si>
    <t>Remarks</t>
  </si>
  <si>
    <t>Reference</t>
  </si>
  <si>
    <t>ID</t>
  </si>
  <si>
    <t>Situation</t>
  </si>
  <si>
    <t>Example use case</t>
  </si>
  <si>
    <t>E (T)</t>
  </si>
  <si>
    <t>E (F)</t>
  </si>
  <si>
    <t>Vehicle-related elements in the use phase</t>
  </si>
  <si>
    <t>VF</t>
  </si>
  <si>
    <t>Before starting the journey / journey planning</t>
  </si>
  <si>
    <t>VF001</t>
  </si>
  <si>
    <t>Vehicle parked with ignition off, parking heater in operation (fuel-operated)</t>
  </si>
  <si>
    <t>- Defrosting / preheating the vehicle in the winter months</t>
  </si>
  <si>
    <t>BE</t>
  </si>
  <si>
    <t>Loading and unloading</t>
  </si>
  <si>
    <t>BE001</t>
  </si>
  <si>
    <t>Vehicle is being loaded or unloaded
(person is directly at the vehicle)</t>
  </si>
  <si>
    <t>- Loading the roof box,
- Mount the bicycle trailer
- Load bikes,
- Insert jacket, bag
- Load trunk</t>
  </si>
  <si>
    <t>- Person does not reach into the vehicle contour through door / windows</t>
  </si>
  <si>
    <t>BE002</t>
  </si>
  <si>
    <t>Vehicle is being loaded or unloaded
(person leans into the open vehicle)</t>
  </si>
  <si>
    <t>- Fasten child in child seat
- Load through the side door
- Person leans into the boot for loading</t>
  </si>
  <si>
    <t>- Loading into the trunk or through the side doors</t>
  </si>
  <si>
    <t>ES</t>
  </si>
  <si>
    <t>Boarding, adjusting and starting</t>
  </si>
  <si>
    <t>ES001</t>
  </si>
  <si>
    <t>Driver gets into the vehicle</t>
  </si>
  <si>
    <t xml:space="preserve">- At the start of every journey.
- In this situation, only the period in which people board the ego vehicle is considered.
It is conservatively assumed that this period amounts to a total of 1.39 h/a (1,000 driving cycles of 5s each). This justifies the E2 in the time domain. </t>
  </si>
  <si>
    <t>ES2</t>
  </si>
  <si>
    <t>Driver buckles up</t>
  </si>
  <si>
    <t>- from gripping the belt to engaging in the buckle
- Assumption &lt; 7s per journey</t>
  </si>
  <si>
    <t>FA</t>
  </si>
  <si>
    <t>Driving</t>
  </si>
  <si>
    <t>Driving at a speed v ≤ 130 km/h</t>
  </si>
  <si>
    <t>- Based on the references, it can be assumed that the E4 range extends up to 130 km/h (the figures refer to DE only)</t>
  </si>
  <si>
    <t>Driving at a speed of 130 km/h &lt; v ≤ 180 km/h</t>
  </si>
  <si>
    <t>- Freeway drive</t>
  </si>
  <si>
    <t>Driving at a speed v &gt; 180 km/h</t>
  </si>
  <si>
    <t>Driving at a speed v &gt; 200 km/h</t>
  </si>
  <si>
    <t>Slow driving / starting procedure
(0 km/h &lt; v ≤ 15 km/h)</t>
  </si>
  <si>
    <t>- Stalled traffic, starting
- traffic lights, zebra crossings, intersections
- Starting the journey</t>
  </si>
  <si>
    <t>- OEM customer data from 02.09.2021: ≥2% of the time below ≤15km/h. Derived from km data per speed. Data basis: 46.5 million KM driven with 958 vehicles</t>
  </si>
  <si>
    <r>
      <rPr>
        <sz val="11"/>
        <color theme="1"/>
        <rFont val="等线"/>
        <scheme val="minor"/>
      </rPr>
      <t>Driving with longitudinal acceleration between 0 &lt;</t>
    </r>
    <r>
      <rPr>
        <vertAlign val="subscript"/>
        <sz val="10"/>
        <color theme="1"/>
        <rFont val="Arial"/>
        <family val="2"/>
      </rPr>
      <t>aX</t>
    </r>
    <r>
      <rPr>
        <sz val="11"/>
        <color theme="1"/>
        <rFont val="等线"/>
        <scheme val="minor"/>
      </rPr>
      <t>1.5 m/s²</t>
    </r>
  </si>
  <si>
    <t>---</t>
  </si>
  <si>
    <r>
      <rPr>
        <sz val="11"/>
        <color theme="1"/>
        <rFont val="等线"/>
        <scheme val="minor"/>
      </rPr>
      <t>Driving with longitudinal acceleration between 1.5 &lt;</t>
    </r>
    <r>
      <rPr>
        <vertAlign val="subscript"/>
        <sz val="10"/>
        <color theme="1"/>
        <rFont val="Arial"/>
        <family val="2"/>
      </rPr>
      <t>aX</t>
    </r>
    <r>
      <rPr>
        <sz val="11"/>
        <color theme="1"/>
        <rFont val="等线"/>
        <scheme val="minor"/>
      </rPr>
      <t xml:space="preserve"> 3 m/s²</t>
    </r>
  </si>
  <si>
    <r>
      <rPr>
        <sz val="11"/>
        <color theme="1"/>
        <rFont val="等线"/>
        <scheme val="minor"/>
      </rPr>
      <t>Driving with longitudinal acceleration between 3 &lt;</t>
    </r>
    <r>
      <rPr>
        <vertAlign val="subscript"/>
        <sz val="10"/>
        <color theme="1"/>
        <rFont val="Arial"/>
        <family val="2"/>
      </rPr>
      <t>aX</t>
    </r>
    <r>
      <rPr>
        <sz val="11"/>
        <color theme="1"/>
        <rFont val="等线"/>
        <scheme val="minor"/>
      </rPr>
      <t>4 m/s²</t>
    </r>
  </si>
  <si>
    <r>
      <rPr>
        <sz val="11"/>
        <color theme="1"/>
        <rFont val="等线"/>
        <scheme val="minor"/>
      </rPr>
      <t>Driving with longitudinal acceleration</t>
    </r>
    <r>
      <rPr>
        <vertAlign val="subscript"/>
        <sz val="10"/>
        <color theme="1"/>
        <rFont val="Arial"/>
        <family val="2"/>
      </rPr>
      <t>aX</t>
    </r>
    <r>
      <rPr>
        <sz val="11"/>
        <color theme="1"/>
        <rFont val="等线"/>
        <scheme val="minor"/>
      </rPr>
      <t>&gt; 4 m/s²</t>
    </r>
  </si>
  <si>
    <t>- Full load acceleration for a few seconds (e.g. 0-100 km/h in 8s)</t>
  </si>
  <si>
    <r>
      <rPr>
        <sz val="11"/>
        <color theme="1"/>
        <rFont val="等线"/>
        <scheme val="minor"/>
      </rPr>
      <t>Longitudinal accelerations 0 &lt;</t>
    </r>
    <r>
      <rPr>
        <vertAlign val="subscript"/>
        <sz val="10"/>
        <color theme="1"/>
        <rFont val="Arial"/>
        <family val="2"/>
      </rPr>
      <t>aX</t>
    </r>
    <r>
      <rPr>
        <sz val="11"/>
        <color theme="1"/>
        <rFont val="等线"/>
        <scheme val="minor"/>
      </rPr>
      <t xml:space="preserve"> 4 m/s²</t>
    </r>
  </si>
  <si>
    <t>- Starting at green traffic lights, stop and go operation</t>
  </si>
  <si>
    <r>
      <rPr>
        <sz val="11"/>
        <color theme="1"/>
        <rFont val="等线"/>
        <scheme val="minor"/>
      </rPr>
      <t>Longitudinal accelerations 4 &lt;</t>
    </r>
    <r>
      <rPr>
        <vertAlign val="subscript"/>
        <sz val="10"/>
        <color theme="1"/>
        <rFont val="Arial"/>
        <family val="2"/>
      </rPr>
      <t>aX</t>
    </r>
    <r>
      <rPr>
        <sz val="11"/>
        <color theme="1"/>
        <rFont val="等线"/>
        <scheme val="minor"/>
      </rPr>
      <t xml:space="preserve"> 7 m/s²</t>
    </r>
  </si>
  <si>
    <t>- Full throttle, starting an overtaking maneuver</t>
  </si>
  <si>
    <r>
      <rPr>
        <sz val="11"/>
        <color theme="1"/>
        <rFont val="等线"/>
        <scheme val="minor"/>
      </rPr>
      <t>Longitudinal accelerations 7 &lt;</t>
    </r>
    <r>
      <rPr>
        <vertAlign val="subscript"/>
        <sz val="10"/>
        <color theme="1"/>
        <rFont val="Arial"/>
        <family val="2"/>
      </rPr>
      <t>aX</t>
    </r>
    <r>
      <rPr>
        <sz val="11"/>
        <color theme="1"/>
        <rFont val="等线"/>
        <scheme val="minor"/>
      </rPr>
      <t xml:space="preserve"> 10 m/s²</t>
    </r>
  </si>
  <si>
    <t>- Cavalier start with all-wheel drive</t>
  </si>
  <si>
    <r>
      <rPr>
        <sz val="11"/>
        <color theme="1"/>
        <rFont val="等线"/>
        <scheme val="minor"/>
      </rPr>
      <t>Longitudinal accelerations</t>
    </r>
    <r>
      <rPr>
        <vertAlign val="subscript"/>
        <sz val="10"/>
        <color theme="1"/>
        <rFont val="Arial"/>
        <family val="2"/>
      </rPr>
      <t>aX</t>
    </r>
    <r>
      <rPr>
        <sz val="11"/>
        <color theme="1"/>
        <rFont val="等线"/>
        <scheme val="minor"/>
      </rPr>
      <t xml:space="preserve"> &gt; 10 m/s²</t>
    </r>
  </si>
  <si>
    <t>- Race start with four-wheel drive and high-powered vehicle</t>
  </si>
  <si>
    <r>
      <rPr>
        <sz val="11"/>
        <color theme="1"/>
        <rFont val="等线"/>
        <scheme val="minor"/>
      </rPr>
      <t>Driving with deceleration values between 0 &lt;</t>
    </r>
    <r>
      <rPr>
        <vertAlign val="subscript"/>
        <sz val="10"/>
        <color theme="1"/>
        <rFont val="Arial"/>
        <family val="2"/>
      </rPr>
      <t>aX</t>
    </r>
    <r>
      <rPr>
        <sz val="11"/>
        <color theme="1"/>
        <rFont val="等线"/>
        <scheme val="minor"/>
      </rPr>
      <t>1.5 m/s²</t>
    </r>
  </si>
  <si>
    <t>- Stopping comfortably at a red light
- Keep distance from the vehicle in front
- Deceleration</t>
  </si>
  <si>
    <r>
      <rPr>
        <sz val="11"/>
        <color theme="1"/>
        <rFont val="等线"/>
        <scheme val="minor"/>
      </rPr>
      <t>Driving with deceleration values between 1.5 &lt;</t>
    </r>
    <r>
      <rPr>
        <vertAlign val="subscript"/>
        <sz val="10"/>
        <color theme="1"/>
        <rFont val="Arial"/>
        <family val="2"/>
      </rPr>
      <t>aX</t>
    </r>
    <r>
      <rPr>
        <sz val="11"/>
        <color theme="1"/>
        <rFont val="等线"/>
        <scheme val="minor"/>
      </rPr>
      <t>3 m/s²</t>
    </r>
  </si>
  <si>
    <t xml:space="preserve">- Deceleration before a bend; </t>
  </si>
  <si>
    <r>
      <rPr>
        <sz val="11"/>
        <color theme="1"/>
        <rFont val="等线"/>
        <scheme val="minor"/>
      </rPr>
      <t>Driving with deceleration values between 3 &lt;</t>
    </r>
    <r>
      <rPr>
        <vertAlign val="subscript"/>
        <sz val="10"/>
        <color theme="1"/>
        <rFont val="Arial"/>
        <family val="2"/>
      </rPr>
      <t>aX</t>
    </r>
    <r>
      <rPr>
        <sz val="11"/>
        <color theme="1"/>
        <rFont val="等线"/>
        <scheme val="minor"/>
      </rPr>
      <t>4 m/s²</t>
    </r>
  </si>
  <si>
    <t>- Overestimated with tightening curve</t>
  </si>
  <si>
    <r>
      <rPr>
        <sz val="11"/>
        <color theme="1"/>
        <rFont val="等线"/>
        <scheme val="minor"/>
      </rPr>
      <t>Driving with deceleration values between</t>
    </r>
    <r>
      <rPr>
        <vertAlign val="subscript"/>
        <sz val="10"/>
        <color theme="1"/>
        <rFont val="Arial"/>
        <family val="2"/>
      </rPr>
      <t>aX</t>
    </r>
    <r>
      <rPr>
        <sz val="11"/>
        <color theme="1"/>
        <rFont val="等线"/>
        <scheme val="minor"/>
      </rPr>
      <t>&gt; 4 m/s²</t>
    </r>
  </si>
  <si>
    <r>
      <rPr>
        <sz val="11"/>
        <color theme="1"/>
        <rFont val="等线"/>
        <scheme val="minor"/>
      </rPr>
      <t>Delays 0 &lt;</t>
    </r>
    <r>
      <rPr>
        <vertAlign val="subscript"/>
        <sz val="10"/>
        <color theme="1"/>
        <rFont val="Arial"/>
        <family val="2"/>
      </rPr>
      <t>aX</t>
    </r>
    <r>
      <rPr>
        <sz val="11"/>
        <color theme="1"/>
        <rFont val="等线"/>
        <scheme val="minor"/>
      </rPr>
      <t>4 m/s²</t>
    </r>
  </si>
  <si>
    <t>- Braking before intersections in the city</t>
  </si>
  <si>
    <r>
      <rPr>
        <sz val="11"/>
        <color theme="1"/>
        <rFont val="等线"/>
        <scheme val="minor"/>
      </rPr>
      <t>Delays 4 &lt;</t>
    </r>
    <r>
      <rPr>
        <vertAlign val="subscript"/>
        <sz val="10"/>
        <color theme="1"/>
        <rFont val="Arial"/>
        <family val="2"/>
      </rPr>
      <t>aX</t>
    </r>
    <r>
      <rPr>
        <sz val="11"/>
        <color theme="1"/>
        <rFont val="等线"/>
        <scheme val="minor"/>
      </rPr>
      <t>6 m/s²</t>
    </r>
  </si>
  <si>
    <r>
      <rPr>
        <sz val="11"/>
        <color theme="1"/>
        <rFont val="等线"/>
        <scheme val="minor"/>
      </rPr>
      <t>Delays 6 &lt;</t>
    </r>
    <r>
      <rPr>
        <vertAlign val="subscript"/>
        <sz val="10"/>
        <color theme="1"/>
        <rFont val="Arial"/>
        <family val="2"/>
      </rPr>
      <t>aX</t>
    </r>
    <r>
      <rPr>
        <sz val="11"/>
        <color theme="1"/>
        <rFont val="等线"/>
        <scheme val="minor"/>
      </rPr>
      <t>8 m/s²</t>
    </r>
  </si>
  <si>
    <r>
      <rPr>
        <sz val="11"/>
        <color theme="1"/>
        <rFont val="等线"/>
        <scheme val="minor"/>
      </rPr>
      <t>Decelerations</t>
    </r>
    <r>
      <rPr>
        <vertAlign val="subscript"/>
        <sz val="10"/>
        <color theme="1"/>
        <rFont val="Arial"/>
        <family val="2"/>
      </rPr>
      <t>aX</t>
    </r>
    <r>
      <rPr>
        <sz val="11"/>
        <color theme="1"/>
        <rFont val="等线"/>
        <scheme val="minor"/>
      </rPr>
      <t>&gt; 8 m/s²</t>
    </r>
  </si>
  <si>
    <t>- Emergency braking</t>
  </si>
  <si>
    <r>
      <rPr>
        <sz val="11"/>
        <color theme="1"/>
        <rFont val="等线"/>
        <scheme val="minor"/>
      </rPr>
      <t>Driving with lateral acceleration values between 0 &lt;</t>
    </r>
    <r>
      <rPr>
        <vertAlign val="subscript"/>
        <sz val="10"/>
        <color theme="1"/>
        <rFont val="Arial"/>
        <family val="2"/>
      </rPr>
      <t>aY</t>
    </r>
    <r>
      <rPr>
        <sz val="11"/>
        <color theme="1"/>
        <rFont val="等线"/>
        <scheme val="minor"/>
      </rPr>
      <t xml:space="preserve"> 1.5 m/s²</t>
    </r>
  </si>
  <si>
    <r>
      <rPr>
        <sz val="11"/>
        <color theme="1"/>
        <rFont val="等线"/>
        <scheme val="minor"/>
      </rPr>
      <t>Driving with lateral acceleration values between 1.5 &lt;</t>
    </r>
    <r>
      <rPr>
        <vertAlign val="subscript"/>
        <sz val="10"/>
        <color theme="1"/>
        <rFont val="Arial"/>
        <family val="2"/>
      </rPr>
      <t>aY</t>
    </r>
    <r>
      <rPr>
        <sz val="11"/>
        <color theme="1"/>
        <rFont val="等线"/>
        <scheme val="minor"/>
      </rPr>
      <t xml:space="preserve"> 3.5 m/s²</t>
    </r>
  </si>
  <si>
    <r>
      <rPr>
        <sz val="11"/>
        <color theme="1"/>
        <rFont val="等线"/>
        <scheme val="minor"/>
      </rPr>
      <t>Driving with lateral acceleration values between 3.5 &lt;</t>
    </r>
    <r>
      <rPr>
        <vertAlign val="subscript"/>
        <sz val="10"/>
        <color theme="1"/>
        <rFont val="Arial"/>
        <family val="2"/>
      </rPr>
      <t>aY</t>
    </r>
    <r>
      <rPr>
        <sz val="11"/>
        <color theme="1"/>
        <rFont val="等线"/>
        <scheme val="minor"/>
      </rPr>
      <t xml:space="preserve"> 5 m/s²</t>
    </r>
  </si>
  <si>
    <r>
      <rPr>
        <sz val="11"/>
        <color theme="1"/>
        <rFont val="等线"/>
        <scheme val="minor"/>
      </rPr>
      <t>Driving with lateral acceleration values between</t>
    </r>
    <r>
      <rPr>
        <vertAlign val="subscript"/>
        <sz val="10"/>
        <color theme="1"/>
        <rFont val="Arial"/>
        <family val="2"/>
      </rPr>
      <t>aY</t>
    </r>
    <r>
      <rPr>
        <sz val="11"/>
        <color theme="1"/>
        <rFont val="等线"/>
        <scheme val="minor"/>
      </rPr>
      <t>&gt; 5 m/s²</t>
    </r>
  </si>
  <si>
    <r>
      <rPr>
        <sz val="11"/>
        <color theme="1"/>
        <rFont val="等线"/>
        <scheme val="minor"/>
      </rPr>
      <t>Transverse accelerations 0 &lt;</t>
    </r>
    <r>
      <rPr>
        <vertAlign val="subscript"/>
        <sz val="10"/>
        <color theme="1"/>
        <rFont val="Arial"/>
        <family val="2"/>
      </rPr>
      <t>aY</t>
    </r>
    <r>
      <rPr>
        <sz val="11"/>
        <color theme="1"/>
        <rFont val="等线"/>
        <scheme val="minor"/>
      </rPr>
      <t xml:space="preserve"> 4 m/s²</t>
    </r>
  </si>
  <si>
    <r>
      <rPr>
        <sz val="11"/>
        <color theme="1"/>
        <rFont val="等线"/>
        <scheme val="minor"/>
      </rPr>
      <t>Transverse accelerations 4 &lt;</t>
    </r>
    <r>
      <rPr>
        <vertAlign val="subscript"/>
        <sz val="10"/>
        <color theme="1"/>
        <rFont val="Arial"/>
        <family val="2"/>
      </rPr>
      <t>aY</t>
    </r>
    <r>
      <rPr>
        <sz val="11"/>
        <color theme="1"/>
        <rFont val="等线"/>
        <scheme val="minor"/>
      </rPr>
      <t xml:space="preserve"> 6 m/s²</t>
    </r>
  </si>
  <si>
    <r>
      <rPr>
        <sz val="11"/>
        <color theme="1"/>
        <rFont val="等线"/>
        <scheme val="minor"/>
      </rPr>
      <t>Transverse accelerations 6 &lt;</t>
    </r>
    <r>
      <rPr>
        <vertAlign val="subscript"/>
        <sz val="10"/>
        <color theme="1"/>
        <rFont val="Arial"/>
        <family val="2"/>
      </rPr>
      <t>aY</t>
    </r>
    <r>
      <rPr>
        <sz val="11"/>
        <color theme="1"/>
        <rFont val="等线"/>
        <scheme val="minor"/>
      </rPr>
      <t xml:space="preserve"> 8 m/s²</t>
    </r>
  </si>
  <si>
    <r>
      <rPr>
        <sz val="11"/>
        <color theme="1"/>
        <rFont val="等线"/>
        <scheme val="minor"/>
      </rPr>
      <t>Lateral accelerations</t>
    </r>
    <r>
      <rPr>
        <vertAlign val="subscript"/>
        <sz val="10"/>
        <color theme="1"/>
        <rFont val="Arial"/>
        <family val="2"/>
      </rPr>
      <t>aY</t>
    </r>
    <r>
      <rPr>
        <sz val="11"/>
        <color theme="1"/>
        <rFont val="等线"/>
        <scheme val="minor"/>
      </rPr>
      <t>&gt; 8 m/s²</t>
    </r>
  </si>
  <si>
    <t>- multi-lane roads
- highway driving</t>
  </si>
  <si>
    <t>- Avoiding an object on the highway
- Deer crossing
- Collision avoidance
- Threading in at high differential speed
- Quick overtaking maneuvers
- Very short overtaking opportunity on a country road
- pothole
- Emergency swerve</t>
  </si>
  <si>
    <t>Fast passing of significantly slower traffic in the adjacent lane</t>
  </si>
  <si>
    <t>- e.g. if traffic is backed up in the right-hand lane before an exit
- Traffic jam on a turning lane / straight ahead lane with several lanes leading in different directions.</t>
  </si>
  <si>
    <t>- Passing trucks in the right lane and overtaking are explicitly excluded.
- Normal overtaking maneuvers are not meant here</t>
  </si>
  <si>
    <t>Reverse travel (v ≤ 10 km/h)</t>
  </si>
  <si>
    <t>- Parking / maneuvering out
- Maneuvering
- Reversing over longer distances (long driveways, dead ends, closed roads, roads without turning options)</t>
  </si>
  <si>
    <t>- Includes all reversing maneuvers with v ≤ 10 km/h and parking</t>
  </si>
  <si>
    <t>Reversing (v &gt; 10 km/h)</t>
  </si>
  <si>
    <t>- Rapid reversing over longer distances (long driveways, dead ends, closed roads, roads without turning options)</t>
  </si>
  <si>
    <t>- situation requires a manageable movement, as a prerequisite for this speed when reversing</t>
  </si>
  <si>
    <t>Deceleration during reverse travel with a ≤ 3 m/s²</t>
  </si>
  <si>
    <t>- Occurs during almost every reversing maneuver
- Would also be included in normal reversing (≤ 15 km/h)</t>
  </si>
  <si>
    <t>Deceleration during reverse travel with a &gt; 3 m/s²</t>
  </si>
  <si>
    <t>- Sudden braking due to crossing traffic / people (incl. children) behind parking space</t>
  </si>
  <si>
    <t>Performing an overtaking maneuver
(only overtaking maneuver with lane change to opposite lane)</t>
  </si>
  <si>
    <t>- Overtaking agricultural vehicles, trucks, slow-moving vehicles on country roads
- Overtaking in the urban environment</t>
  </si>
  <si>
    <t>- The situation includes automatic and manual switching operations</t>
  </si>
  <si>
    <t>- Approaching traffic lights
- Rolling in traffic jams
- Stop and go on sloping roads
- Driving downhill inside / outside built-up areas</t>
  </si>
  <si>
    <t>- Refers to the duration of uncoupled driving and not to the uncoupling process itself</t>
  </si>
  <si>
    <t>Driving with active direction indicator (excluding standing)</t>
  </si>
  <si>
    <t>- Lane change
- Turning
- Parking
- Overtaking (the blinker is on during the entire process)
- Forgetting to switch off the blinker
- Passing stationary objects</t>
  </si>
  <si>
    <t>- Flashing warning lights are not part of this situation</t>
  </si>
  <si>
    <t>Turning off (from leaving your own lane until the vehicle is completely on the intersecting road)</t>
  </si>
  <si>
    <t>- X- and T-intersections
- Turning (urban, country road...)</t>
  </si>
  <si>
    <t>- Estimated time range: 
Approx. 20 turns per journey á 2s. Assuming 1,000 driving cycles per year, this results in approx. 11 h/a (&lt;40h/a)</t>
  </si>
  <si>
    <t xml:space="preserve">Turning into the oncoming lane (from leaving your own lane until the vehicle is completely in the destination lane) in heavy oncoming traffic
</t>
  </si>
  <si>
    <t>- X- and T-intersections
- Turning into the oncoming lane (urban areas, country roads...)</t>
  </si>
  <si>
    <t>The density of traffic is influenced by the distance between oncoming vehicles and their speed</t>
  </si>
  <si>
    <t>Driving with inactive stability support (ESP)</t>
  </si>
  <si>
    <t>- Drifting (driving at the limit); starting at low friction (free-rocking)</t>
  </si>
  <si>
    <t>Missing: E1</t>
  </si>
  <si>
    <t>- High vehicle dependency, function is not offered in every vehicle; driver deliberately deactivates the system</t>
  </si>
  <si>
    <t>KA</t>
  </si>
  <si>
    <t>Car body</t>
  </si>
  <si>
    <t>KA001</t>
  </si>
  <si>
    <t>Opening/closing windows or sunroof</t>
  </si>
  <si>
    <t>KA002</t>
  </si>
  <si>
    <t>Locking/unlocking the vehicle when stationary</t>
  </si>
  <si>
    <t>KA003</t>
  </si>
  <si>
    <t>Driving with the sunroof open</t>
  </si>
  <si>
    <t>KA004</t>
  </si>
  <si>
    <t>Driving with the top down (convertible only)</t>
  </si>
  <si>
    <t>OA</t>
  </si>
  <si>
    <t>Over the Air</t>
  </si>
  <si>
    <t>OA001</t>
  </si>
  <si>
    <t>SW Update</t>
  </si>
  <si>
    <t>- for vehicles in customer hands without a workshop visit (technology-independent, e.g. over the air)</t>
  </si>
  <si>
    <t xml:space="preserve">A methodology for classifying the software update can be found in the methods section (Chapter 4.8). </t>
  </si>
  <si>
    <t>OA002</t>
  </si>
  <si>
    <t xml:space="preserve">Function extension on request by the customer (function on demand) </t>
  </si>
  <si>
    <t>PH</t>
  </si>
  <si>
    <t>Parking/stopping/maneuvering</t>
  </si>
  <si>
    <t>Parking with trailer</t>
  </si>
  <si>
    <t>- DIY store
- Driveway
- Property access road
- Construction and recycling yard
- Building site
- Campsite (caravan)</t>
  </si>
  <si>
    <t>- All parking maneuvers along or across the road and in parking spaces
- Trailers (incl. caravans) braked or unbraked</t>
  </si>
  <si>
    <t>Parking or stopping with driver in the vehicle</t>
  </si>
  <si>
    <t>- Waiting for passengers
- Short stop at an AB service area
- Picking up children from school
- Picking someone up from the train station / airport
- Waiting in the car while passengers run short errands
- Waiting for passengers to start their journey
- Cleaning the vehicle</t>
  </si>
  <si>
    <t>Stopping here is not traffic-related stopping.</t>
  </si>
  <si>
    <t>Stop or park: Driver not in the vehicle</t>
  </si>
  <si>
    <t>Parking or stopping: Driver not in vehicle, passengers in vehicle</t>
  </si>
  <si>
    <t>- Shopping
- Petrol station
- Service station
- Ferry
- Bakery
- Post office</t>
  </si>
  <si>
    <t>- Passenger: Passenger in the car (except driver) regardless of demographic characteristics</t>
  </si>
  <si>
    <t>Parking in or out</t>
  </si>
  <si>
    <t>- Parking: from the start of the parking process (setting the blinker) until the vehicle comes to a standstill
- Parking out: from leaving the stationary position until the vehicle has completely left the parking space (area on which the vehicle was parked)</t>
  </si>
  <si>
    <t>Parking in or out of the lane in a longitudinal direction</t>
  </si>
  <si>
    <t>Parking in or out of a space perpendicular to the roadway</t>
  </si>
  <si>
    <t>Stop: Roadside in the city</t>
  </si>
  <si>
    <t>- Letting a passenger out of a car
- Pick someone up
- Phone call</t>
  </si>
  <si>
    <t>- Parking in front of an apartment in the city center
- Visiting the city</t>
  </si>
  <si>
    <t>Parking or stopping: Roadside on the highway</t>
  </si>
  <si>
    <t>In the case of overcrowded parking lots in the vicinity of leisure facilities or tourist attractions, such as bathing lakes, hiking parking lots, viewpoints or ski areas.</t>
  </si>
  <si>
    <t>Parking or stopping: Hard shoulder / roadside on highway</t>
  </si>
  <si>
    <t>- Biopause on an overland journey
- Get something from the trunk (e.g. water bottle)
- Urgent phone call</t>
  </si>
  <si>
    <t xml:space="preserve">Parking or stopping: 
5 % &lt; slopes ≤ 8 % </t>
  </si>
  <si>
    <t>- on a hill
- on a hilltop
- at the entrance to an underground parking garage
- on parking garage driveway</t>
  </si>
  <si>
    <t>- Situation independent of the driving location, as the focus is on the inclination.</t>
  </si>
  <si>
    <t>Parking or stopping: 
8 % &lt; slopes ≤ 15 %</t>
  </si>
  <si>
    <t>Parking or stopping: 15% &lt; inclines</t>
  </si>
  <si>
    <t>- on the mountain</t>
  </si>
  <si>
    <t>- Stop sign
- traffic light
- Crosswalk
- traffic jam
- Barrier</t>
  </si>
  <si>
    <t>Traffic-related stopping on the road with the vehicle in front and pedestrians directly between the vehicles.</t>
  </si>
  <si>
    <t xml:space="preserve">Traffic-related stopping on the road in the first place (without front vehicle)
</t>
  </si>
  <si>
    <t>regardless of whether there are people in between or not</t>
  </si>
  <si>
    <t>AB</t>
  </si>
  <si>
    <t>Get out, end the journey</t>
  </si>
  <si>
    <t xml:space="preserve">Driver unbuckles his seatbelt
</t>
  </si>
  <si>
    <t>- from opening the buckle until the belt is no longer in front of the body</t>
  </si>
  <si>
    <t>- Time from the end of unbuckling until the door is closed (driver has exited)</t>
  </si>
  <si>
    <t>TL</t>
  </si>
  <si>
    <t>Refueling and charging</t>
  </si>
  <si>
    <t>TL001</t>
  </si>
  <si>
    <t xml:space="preserve">Refuel vehicle
</t>
  </si>
  <si>
    <t>Manual (conventional) refueling of the vehicle with liquid fuel: Time range:40 x refueling p.a. and 3 min per refueling --&gt; 2 h/a Frequency range: 20,000 km p.a. &amp;amp; 500 km range --&gt; 40 x refueling p.a.</t>
  </si>
  <si>
    <t>TL002</t>
  </si>
  <si>
    <t>Refueling the vehicle with liquid / compressed gases</t>
  </si>
  <si>
    <t>- Manual refueling of the vehicle (CV, FCV, etc.) with gaseous fuel (LPG, CNG, hydrogen, etc.)</t>
  </si>
  <si>
    <t>TL003</t>
  </si>
  <si>
    <t>Charging an electric vehicle</t>
  </si>
  <si>
    <t>- Manual wired charging of the vehicle (EV, HEV, PHEV etc.) with electrical traction energy (DC, AC etc.) less than 400V (WLPC)</t>
  </si>
  <si>
    <t xml:space="preserve">The methodology for classifying the loading can be found in the methods section (Chapter 4.6). </t>
  </si>
  <si>
    <t>TL004</t>
  </si>
  <si>
    <t>Wireless charging of the vehicle through energy conversion while driving</t>
  </si>
  <si>
    <t>- Recuperation
- Charging via combustion engine</t>
  </si>
  <si>
    <t>TL005</t>
  </si>
  <si>
    <t>Driver checks/adds fluids in the engine compartment</t>
  </si>
  <si>
    <t>- Check oil level
- Top up oil
- Check wiper fluid
- Refill wiper fluid</t>
  </si>
  <si>
    <t>TL006</t>
  </si>
  <si>
    <t>Vehicle is raised on a lifting platform or jack</t>
  </si>
  <si>
    <t>- Wheel change</t>
  </si>
  <si>
    <t>TL007</t>
  </si>
  <si>
    <t>In-house service (other maintenance work)</t>
  </si>
  <si>
    <t xml:space="preserve">- Work in the engine compartment
- Subsequent installation of accessory wiring
- Changing fuses
- Changing bulbs
</t>
  </si>
  <si>
    <t>SO</t>
  </si>
  <si>
    <t>Special situations</t>
  </si>
  <si>
    <t>SO001</t>
  </si>
  <si>
    <t>Vehicle breaks down / comes to a standstill</t>
  </si>
  <si>
    <t>- Engine damage
- Cooling water
- Drive train
- Marten damage
- Flat tire
- Generator / battery flat</t>
  </si>
  <si>
    <t>- It's about your own vehicle
- Accident is explicitly excluded
- Vehicle no longer roadworthy.</t>
  </si>
  <si>
    <t>SO002</t>
  </si>
  <si>
    <t xml:space="preserve">Vehicle is started externally
</t>
  </si>
  <si>
    <t>- Vacation return
- Light left on
- Low battery
- Cold</t>
  </si>
  <si>
    <t>- It's about your own vehicle
- Refers to combustion vehicles as well as BEV vehicles.</t>
  </si>
  <si>
    <t>SO003</t>
  </si>
  <si>
    <t>Vehicle accident</t>
  </si>
  <si>
    <t>The term accident is to be understood as any event causally connected with road traffic and its dangers which causes injury to a person or damage to property which is not entirely trivial (BGHSt 8, 263 ff).</t>
  </si>
  <si>
    <t>SO004</t>
  </si>
  <si>
    <t>Vehicle is in acute danger of collision A collision cannot be avoided without actions outside the comfort zone (by your own vehicle or other road users).</t>
  </si>
  <si>
    <t>- Compensation for own and third party driving errors (incl. carelessness)
- End of traffic jam behind crest / bend
- Deer crossing
- Child suddenly enters the road
- Vehicle in front of your own vehicle that is too close requires emergency braking or swerving</t>
  </si>
  <si>
    <t>- A collision cannot be avoided without actions outside the comfort zone (by your own vehicle or other road users).
-Outside the comfort zone:
Tearing at the steering wheel (steering angle jump) or increased deceleration up to and including emergency braking</t>
  </si>
  <si>
    <t>SO005</t>
  </si>
  <si>
    <t>Your own vehicle tows another car</t>
  </si>
  <si>
    <t>Towed vehicle with at least 2 tires on the road</t>
  </si>
  <si>
    <t>SO006</t>
  </si>
  <si>
    <t>Your own vehicle is towed away</t>
  </si>
  <si>
    <t>SO007</t>
  </si>
  <si>
    <t>Vehicle is in the car wash</t>
  </si>
  <si>
    <t>- Car wash
- Car wash
- Washing station</t>
  </si>
  <si>
    <t>SO008</t>
  </si>
  <si>
    <t>Panic situation</t>
  </si>
  <si>
    <t>Smoke (caused e.g. by a cigarette) in the passenger compartment; spider, wasp in the passenger compartment; fire (caused e.g. by a cigarette) in or around the vehicle; water entering the vehicle (flooding)</t>
  </si>
  <si>
    <t>- Panic is a state of intense fear of a perceived or actual threat that manifests itself in acute stress reactions.</t>
  </si>
  <si>
    <t>SO009</t>
  </si>
  <si>
    <t xml:space="preserve">Vehicle is transported 
</t>
  </si>
  <si>
    <t>- Ship / Ferry
- Train
- TRUCK
- Airplane</t>
  </si>
  <si>
    <t>- your own vehicle with all tires on the means of transport</t>
  </si>
  <si>
    <t>Driving with emergency wheel</t>
  </si>
  <si>
    <t>SO011</t>
  </si>
  <si>
    <t>Driving with snow chains</t>
  </si>
  <si>
    <t>SO012</t>
  </si>
  <si>
    <t xml:space="preserve">Long-term parking &gt; 2 days </t>
  </si>
  <si>
    <t>- Vacation (parking at the airport or parking at the vacation destination)
- Weekend without vehicle use
- Illness
- Seasonal vehicles (seasonal license plates)
- Ownership of several vehicles
- Use of other means of transportation (e.g. bicycle, train, bus)</t>
  </si>
  <si>
    <t>SO013</t>
  </si>
  <si>
    <t>Charging with a mobile charging station</t>
  </si>
  <si>
    <t>-Charging at locations not explicitly intended for this purpose using mobile charging equipment (usually takes considerably less time than a full charging cycle)
- Charging on the tow truck</t>
  </si>
  <si>
    <t xml:space="preserve">- Refers exclusively to battery electric vehicles
</t>
  </si>
  <si>
    <t>SO014</t>
  </si>
  <si>
    <t>Driving with right-hand drive in right-hand traffic or left-hand drive in left-hand traffic</t>
  </si>
  <si>
    <t>- Re-import vehicles
- Vacation trips</t>
  </si>
  <si>
    <t>IB</t>
  </si>
  <si>
    <t>Occupants and loading</t>
  </si>
  <si>
    <t>IB001</t>
  </si>
  <si>
    <t>1 passenger</t>
  </si>
  <si>
    <t>1 passenger = 1 driver + 1 additional passenger</t>
  </si>
  <si>
    <t>IB002</t>
  </si>
  <si>
    <t>2 passengers</t>
  </si>
  <si>
    <t>- Trips with the family
- Trips with parts of a larger family
- Journeys with colleagues / friends / car pools</t>
  </si>
  <si>
    <t>2 passengers = 1 driver + 2 other passengers</t>
  </si>
  <si>
    <t>IB003</t>
  </si>
  <si>
    <t>&gt; 2 passengers</t>
  </si>
  <si>
    <t>https://de.statista.com/infografik/2718/anteil-angeschnallter-personen-im-strassenverkehr-2013/</t>
  </si>
  <si>
    <t>IB004</t>
  </si>
  <si>
    <t>Driving with unbelted occupants in the front seats (incl. driver)</t>
  </si>
  <si>
    <t>https://de.statista.com/infografik/2718/anteil-angeschnallter-personen-im-strassenverkehr-2013/Annahme:%20gleiches%20Verhalten%20wie%20auf%20den%20Vordersitzen</t>
  </si>
  <si>
    <t>IB005</t>
  </si>
  <si>
    <t>Driving with unbelted occupants in the rear seats.</t>
  </si>
  <si>
    <t>IB006</t>
  </si>
  <si>
    <t>Driving with a loaded roof rack (e.g. box, bikes)</t>
  </si>
  <si>
    <t>- Skis in roof box
- Fishing rod in the roof box
- Bicycles
- Surfboards
- Other loads (e.g. Christmas tree, boards, beer table sets)</t>
  </si>
  <si>
    <t>IB007</t>
  </si>
  <si>
    <t>Luggage up to max. 100kg</t>
  </si>
  <si>
    <t>- Every purchase &gt; 0kg</t>
  </si>
  <si>
    <t>- refers only to the load in or on the vehicle (trailer is excluded)</t>
  </si>
  <si>
    <t>IB008</t>
  </si>
  <si>
    <t>Luggage with &gt;100 kg</t>
  </si>
  <si>
    <t>- Removal (washing machine / furniture)
- Building materials (wood, tiles, stones, ...)
- Soil (for the garden)
- Sports equipment (dumbbells)</t>
  </si>
  <si>
    <t>IB009</t>
  </si>
  <si>
    <t>Fully loaded (volume of the luggage compartment)</t>
  </si>
  <si>
    <t>- Vacation trips
- Moving house
- Bulk shopping
- Animals in the trunk (box)
- Transport trips</t>
  </si>
  <si>
    <t>- Restricted / no visibility to the rear, e.g. when parking
- Cannot be combined with loads &gt; 100 kg. 
In this case, it must be assumed that the large volume is associated with a high weight.</t>
  </si>
  <si>
    <t>IB010</t>
  </si>
  <si>
    <t>Loading beyond the vehicle contour</t>
  </si>
  <si>
    <t>- Transportation of bulky goods</t>
  </si>
  <si>
    <t>- including driving with the trunk open
- The situation refers to the x- and y-axis. This excludes roof boxes and bicycle racks.</t>
  </si>
  <si>
    <t>IB011</t>
  </si>
  <si>
    <t>Driving with an inadequately secured load in the vehicle interior</t>
  </si>
  <si>
    <t>- Transportation of bulky goods
- Transportation of sports equipment (skis, bows, bicycles ...)
- Baby carriage transportation
- Transporting tires
- Vacation trips
- Heavy shopping bag on the back seat
- Dogs on the back seat or passenger seat
- Cake</t>
  </si>
  <si>
    <t>- Load can slip, so that the slipped load impairs the primary driving tasks or injures vehicle occupants.
- Driving with or without (partially) folded down rear seat.
- The situation cannot be combined with the loading situations. The case already takes into account the existing load.</t>
  </si>
  <si>
    <t>IB012</t>
  </si>
  <si>
    <t>Driving with an inadequately secured load on the vehicle</t>
  </si>
  <si>
    <t>- Transportation of bulky goods
- skis
- Vacation trips</t>
  </si>
  <si>
    <t>- Load can slip, so that the slipped or loosened load can affect traffic.
- The situation cannot be combined with the loading situations. The case already takes into account the existing load.</t>
  </si>
  <si>
    <t>IB013</t>
  </si>
  <si>
    <t>Driving with a trailer</t>
  </si>
  <si>
    <t>- Caravan
- Horse trailers
- Tarpaulin trailers
- DIY trailer</t>
  </si>
  <si>
    <t>- It applies to both braked (incl. e.g. caravans) and unbraked trailers</t>
  </si>
  <si>
    <t>IB014</t>
  </si>
  <si>
    <t>Person holds body part out of the side or roof window</t>
  </si>
  <si>
    <t>- Toll booth
- Ticket machine
- Motorcade
- Drive-in restaurants</t>
  </si>
  <si>
    <t>IB015</t>
  </si>
  <si>
    <t>Person in the luggage compartment separated from the passenger compartment in the parked vehicle</t>
  </si>
  <si>
    <t>IB016</t>
  </si>
  <si>
    <t>Person in the luggage compartment connected to the passenger compartment (alive)</t>
  </si>
  <si>
    <t>- Children playing in / around the vehicle</t>
  </si>
  <si>
    <t>IB017</t>
  </si>
  <si>
    <t>Persons with head or thorax under the vehicle</t>
  </si>
  <si>
    <t>- Rolling toys / objects (e.g. ball) under the vehicle
- Independent service activities (e.g. draining oil)</t>
  </si>
  <si>
    <t>- Assembly pit and lifting platform are excluded.
- Person is under the vehicle with vital organs (e.g. head or entire upper body).</t>
  </si>
  <si>
    <t>IB018</t>
  </si>
  <si>
    <t>Persons only with extremities under the vehicle</t>
  </si>
  <si>
    <t>- Toys / objects (e.g. ball) roll under the vehicle
- Changing tires independently
- Remove branch from under the car</t>
  </si>
  <si>
    <t>- Person is in the danger zone with non-vital body parts (e.g. no further than the arms)</t>
  </si>
  <si>
    <t>IB019</t>
  </si>
  <si>
    <t>Children (&lt; 6 Jahre) allein im Fahrzeug für eine Dauer &gt; 3min</t>
  </si>
  <si>
    <t>- Children in the car while shopping (vehicle no longer in sight of the supervisor)</t>
  </si>
  <si>
    <t>- the duration of &gt; 3min is derived from the definition of parking and is intended to exclude the short time of leaving due to e.g. parking ticket machines.</t>
  </si>
  <si>
    <t>Vehicle external elements (environment / surroundings)</t>
  </si>
  <si>
    <t>VD</t>
  </si>
  <si>
    <t>Traffic domain</t>
  </si>
  <si>
    <t>Driving in a play street / traffic-calmed zone (shared zone)</t>
  </si>
  <si>
    <t>Driving on a residential street</t>
  </si>
  <si>
    <t>Driving on inner-city roads (City Road)</t>
  </si>
  <si>
    <t>Driving on through roads, entry and exit roads (arterial thoroughfare)</t>
  </si>
  <si>
    <t>Driving on rural roads (Rural Road)</t>
  </si>
  <si>
    <t>Driving on expressway/highway</t>
  </si>
  <si>
    <t>Driving on highway ramp</t>
  </si>
  <si>
    <t>- From the last opportunity to turn off (choose an alternative route) before joining the highway and leaving the slip lane into the right-hand lane.</t>
  </si>
  <si>
    <t>Driving on highway exit ramp</t>
  </si>
  <si>
    <t>- Driving on the highway exit after changing lanes
- The lane leaves the highway/end of the highway. Exiting is possible without changing lanes.</t>
  </si>
  <si>
    <t>Driving at the level of an exit/entry without the intention of leaving the highway</t>
  </si>
  <si>
    <t>Your own lane splits into two lanes on the highway</t>
  </si>
  <si>
    <t>- The situation refers to the path between the 600m / 800m sign, which indicates the lane division, and the passing of the section</t>
  </si>
  <si>
    <t>Driving at a manual toll station (incl. funnel in front of and behind the toll station)</t>
  </si>
  <si>
    <t>- Stations where deceleration is necessary and the road fans out
- These are not road bridges with automatic detection (e.g. Toll Collect)</t>
  </si>
  <si>
    <t>Driving on the hard shoulder, which is open to traffic via dynamic traffic signs.</t>
  </si>
  <si>
    <t>- Lane change by own vehicle over solid line possible
- Lane change of another vehicle via solid line in first-person lane possible</t>
  </si>
  <si>
    <t>Parking in a garage with direct access to the living area</t>
  </si>
  <si>
    <t>- The focus is on the risk of poisoning of sleeping / awake people in the living area with a direct connection to the garage by toxic gases
- In addition to direct access, the direct connection (living area and garage share a wall) is also considered, as carbon monoxide, for example, can also penetrate walls.
- Public garages with prescribed safety systems are excluded</t>
  </si>
  <si>
    <t>Driving through tunnels</t>
  </si>
  <si>
    <t>- City tunnel
- Highway tunnels
- Mountain tunnels</t>
  </si>
  <si>
    <t>Driving on a pass road</t>
  </si>
  <si>
    <t>Driving across intersections or traffic circles</t>
  </si>
  <si>
    <t>- Vehicle crosses the path of another road user with or without traffic lights</t>
  </si>
  <si>
    <t>Driving in the construction site area (highway) with structural separation</t>
  </si>
  <si>
    <t>Driving in the construction site area (highway) without structural separation</t>
  </si>
  <si>
    <t>Driving over a level crossing</t>
  </si>
  <si>
    <t>Driving on field and forest paths</t>
  </si>
  <si>
    <t>- Field paths
- Forest paths</t>
  </si>
  <si>
    <t>Field and forest roads are only roads that serve at least predominantly agricultural or forestry purposes and are not of supra-local importance.</t>
  </si>
  <si>
    <t>Riding on bicycle lanes (bicycles have right of way)</t>
  </si>
  <si>
    <t>Increased number of bicycles in front of, behind and next to your own vehicle</t>
  </si>
  <si>
    <t>FB</t>
  </si>
  <si>
    <t>Road surface condition</t>
  </si>
  <si>
    <t>Driving on a gentle gradient / gentle slope 
with inclines up to 2% gradient</t>
  </si>
  <si>
    <t>Driving on a moderately steep gradient / on a moderately steep slope with a gradient &gt; 2%</t>
  </si>
  <si>
    <t>The situation includes both ramping up and ramping down.</t>
  </si>
  <si>
    <t>Driving on steep gradients / steep slopes with a gradient &gt; 8%</t>
  </si>
  <si>
    <t>Driving on grit</t>
  </si>
  <si>
    <t>- Construction sites
- Entrances / exits to properties
- Field paths
- Road repaired with chippings</t>
  </si>
  <si>
    <t xml:space="preserve">Driving on normal friction coefficient </t>
  </si>
  <si>
    <t>Driving on reduced coefficient of friction in the range µ &lt; 0.8</t>
  </si>
  <si>
    <t>- heavy wetness
- ruts
- Rolling chippings</t>
  </si>
  <si>
    <t>Driving on a low coefficient of friction in the µ &lt; 0.5 range</t>
  </si>
  <si>
    <t>- Snow
- Ice</t>
  </si>
  <si>
    <t>Driving on roads with µ-split.
(deviation left / right by Delta-µ &gt; 0.3)</t>
  </si>
  <si>
    <t>- Switch between dry / wet / ice</t>
  </si>
  <si>
    <t>- µ-split track: Roadway consists of surfaces with different coefficients of friction</t>
  </si>
  <si>
    <t xml:space="preserve">Driving on roads with µ-jump
(transition with delta µ &gt; 0.3) </t>
  </si>
  <si>
    <t>- Definition: µ-jump is transverse to the road. First at the front axle then at the rear axle</t>
  </si>
  <si>
    <t xml:space="preserve">Riding with considerable vertical excitation on the wheel
</t>
  </si>
  <si>
    <t>- Pothole
- Bump
- Speed bumper
- kerb
- Cobblestone pavement</t>
  </si>
  <si>
    <t xml:space="preserve">- Vertical excitation due to pothole: approx. 10 m/s2; 
- The classification can be reduced depending on the strength of the excitation
</t>
  </si>
  <si>
    <t>Driving on cobblestones</t>
  </si>
  <si>
    <t>Driving on/over rails in the course of the roadway</t>
  </si>
  <si>
    <t>- Streetcar rails</t>
  </si>
  <si>
    <t>On streetcar rails, for example, it is possible to travel on rails in longitudinal and transverse directions.</t>
  </si>
  <si>
    <t>WS</t>
  </si>
  <si>
    <t>Weather / visibility</t>
  </si>
  <si>
    <t>Driving in hail</t>
  </si>
  <si>
    <t>The reference country for the classifications is Germany.</t>
  </si>
  <si>
    <t>Driving in rain up to 1l/h/m²</t>
  </si>
  <si>
    <t>Driving in rain &gt; 1l/h/m²</t>
  </si>
  <si>
    <t>Driving in rain &gt; 20l/h/m²</t>
  </si>
  <si>
    <t>Driving in rain &gt; 25l/h/m²</t>
  </si>
  <si>
    <t>Driving in the dark without residual light</t>
  </si>
  <si>
    <t>- No street lighting, no moon, no lights from other road users
- Roadside not recognizable</t>
  </si>
  <si>
    <t>Driving in the dark with residual light</t>
  </si>
  <si>
    <t>- Light from street lamps, light from other road users, twilight
- Roadside recognizable</t>
  </si>
  <si>
    <t>Driving in poor visibility with
Visibility below 150m</t>
  </si>
  <si>
    <t>- Fog
- rain
- Reflections</t>
  </si>
  <si>
    <t>-Glare due to both reflections and weather conditions
- The limit value of 150m corresponds approximately to the stopping distance when driving at 130km/h</t>
  </si>
  <si>
    <t>Driving in poor visibility with visibility below 50m</t>
  </si>
  <si>
    <t>- Snowstorm
- Heavy rain
- fog
- low sun</t>
  </si>
  <si>
    <t>Strong crosswind (counter-steering necessary to stay on track)</t>
  </si>
  <si>
    <t>- Strong wind
- Bridge crossing in crosswinds
- Overtaking trucks in light / medium crosswinds</t>
  </si>
  <si>
    <t>- situation only covers the time from the moment the wind catches the vehicle until the driver starts to compensate.</t>
  </si>
  <si>
    <t>PU</t>
  </si>
  <si>
    <t>Periphery / environment</t>
  </si>
  <si>
    <t>Persons on the vehicle roof or hood (sitting/standing/...)</t>
  </si>
  <si>
    <t>Persons on the roadway (excluding expressways)</t>
  </si>
  <si>
    <t>- Getting out of a vehicle parked alongside the road
- Crossing the road (at crosswalks, traffic lights, etc., as well as in an area not marked for this purpose)
- Construction sites / construction workers on the road
- Children playing on the road (incl. play street)
- Traffic jams in the city
- Pedestrians on the country road</t>
  </si>
  <si>
    <t>Persons on the carriageway of an expressway (e.g. highway)</t>
  </si>
  <si>
    <t>- Breakdown vehicle
- Accident</t>
  </si>
  <si>
    <t>The situation includes people who are not on the roadway for professional reasons 
(police, road maintenance staff, construction workers), as they have a heightened awareness of their own safety.</t>
  </si>
  <si>
    <t>People in the danger zone (&lt;2m) in the entire area around a parked, maneuvering, slow-moving vehicle</t>
  </si>
  <si>
    <t>- Supermarket parking lot
- Parking garage
- Parking in the city center
- Parking in the play street / residential area
- Exit from property (incl. garage)
- Play streets</t>
  </si>
  <si>
    <t>Persons entering or exiting the vehicle are not taken into account</t>
  </si>
  <si>
    <t>Persons in the danger zone (distance of up to one vehicle length in the direction of movement) of a moving vehicle</t>
  </si>
  <si>
    <t>- Cyclist
- Scooters
- joggers
- Scooters / mopeds / motorcycles</t>
  </si>
  <si>
    <t>- Vulnerable road users (Vulnerable road user)
- People have no crumple zone</t>
  </si>
  <si>
    <t>Driving on an avenue of trees</t>
  </si>
  <si>
    <t>- Avenues are roads or paths that are bordered on both sides by uniform rows of trees or are separated in the middle by a row of trees</t>
  </si>
  <si>
    <t>Driving through a bottleneck</t>
  </si>
  <si>
    <t>- Construction site (without highway)
- Passages under narrow bridges
- Inner roads narrowed by parking lanes etc.
- Area in 30 zone
-Play street</t>
  </si>
  <si>
    <t>A bottleneck is a limited section of a road that is otherwise wide enough for pedestrians to pass, on which an obstacle, caused for example by structural or infrastructural measures or parked vehicles, hinders or prevents further progress in the lane in question.</t>
  </si>
  <si>
    <t>Traffic jam / gridlock on the highway &amp;amp; country road</t>
  </si>
  <si>
    <t>- Accident
- Construction site
- Slow trucks (e.g. due to inclines)
- Vehicles lying down
- Vehicles entering the road
- High volume of traffic (rush hour)</t>
  </si>
  <si>
    <t>A traffic jam exists if several vehicles are traveling at an average speed of less than 20 km/h for at least five minutes over a distance of at least one kilometer.
Traffic is at a standstill if several vehicles are traveling at an average speed of less than 40 km/h for at least five minutes over a distance of at least one kilometer.</t>
  </si>
  <si>
    <t>A traffic jam exists when several vehicles are traveling at an average speed of less than 20 km/h for at least five minutes over a length of at least one kilometer.</t>
  </si>
  <si>
    <t>Approaching the end of a stationary traffic jam while driving freely on the highway</t>
  </si>
  <si>
    <t>- End of traffic jam behind the crest
- End of traffic jam behind the bend
- General approach to the end of a traffic jam</t>
  </si>
  <si>
    <t>- Suddenly occurring end of traffic jam (from free travel) with high delta speed to current free travel
- from speed &gt; 60 km/h until the end of a traffic jam is reached</t>
  </si>
  <si>
    <t>Driving on a road along an embankment</t>
  </si>
  <si>
    <t>Sloping / rising terrain with a gradient / slope of at least 45% and a height difference of at least 1m (slope unpaved).</t>
  </si>
  <si>
    <t>- Police
- Ambulance
- Fire department
- THW
- Tow trucks
- Road gritting vehicle
- Road maintenance/ highway maintenance vehicles</t>
  </si>
  <si>
    <t>Driving on a straight road with reduced visibility due to crest/sink (less than 150 m)</t>
  </si>
  <si>
    <r>
      <rPr>
        <sz val="11"/>
        <color theme="1"/>
        <rFont val="等线"/>
        <scheme val="minor"/>
      </rPr>
      <t xml:space="preserve">Travel distance between reaching a visibility range </t>
    </r>
    <r>
      <rPr>
        <sz val="8"/>
        <color theme="1"/>
        <rFont val="Arial"/>
        <family val="2"/>
      </rPr>
      <t xml:space="preserve">≤ </t>
    </r>
    <r>
      <rPr>
        <sz val="10"/>
        <color theme="1"/>
        <rFont val="Arial"/>
        <family val="2"/>
      </rPr>
      <t xml:space="preserve">150m and the subsequent crossing of the crest </t>
    </r>
    <r>
      <rPr>
        <sz val="8"/>
        <color theme="1"/>
        <rFont val="Arial"/>
        <family val="2"/>
      </rPr>
      <t>(</t>
    </r>
    <r>
      <rPr>
        <sz val="10"/>
        <color theme="1"/>
        <rFont val="Arial"/>
        <family val="2"/>
      </rPr>
      <t>removal of the visibility restriction</t>
    </r>
    <r>
      <rPr>
        <sz val="8"/>
        <color theme="1"/>
        <rFont val="Arial"/>
        <family val="2"/>
      </rPr>
      <t>)</t>
    </r>
  </si>
  <si>
    <t>Streetcar on the roadway</t>
  </si>
  <si>
    <t>Streetcar crosses roadway</t>
  </si>
  <si>
    <t>Streetcar crosses the road or runs directly in front of the vehicle. This does not refer to the rails, but to the streetcar itself. Rails on the roadway are considered in the situation in FB13.</t>
  </si>
  <si>
    <t>Follow-up journey with normal distance (approximate value 1/2 speedometer)</t>
  </si>
  <si>
    <t>Only applies to out of town. Combination with traffic domain, speed range or other independent situations is possible if required.</t>
  </si>
  <si>
    <t>Follow-up journey with a short distance (guide value &lt; 1/2 speedometer)</t>
  </si>
  <si>
    <t>- For a short time after swerving in or out
- tailgaters
- High traffic density
- Abrupt braking of the vehicle in front</t>
  </si>
  <si>
    <t>Follow-up journey with very small distance (distance &lt; 1/4 speedometer)</t>
  </si>
  <si>
    <t>Follow-up journey with extremely small distance (distance &lt; 1/8 speedometer)</t>
  </si>
  <si>
    <t>Driving past parked cars at the side of the road</t>
  </si>
  <si>
    <t>Driving behind a turning or exiting vehicle.</t>
  </si>
  <si>
    <t>From the time at which the vehicle in front indicates its intention (sets its indicators) until it leaves its own lane completely.</t>
  </si>
  <si>
    <t>Vehicle retracts in front of own vehicle</t>
  </si>
  <si>
    <t>From the time at which the retracting vehicle begins the retraction process until it is completely in the lane of its own vehicle.</t>
  </si>
  <si>
    <t>ASIL Calculation (s.a. Ref_1, Table 4)</t>
  </si>
  <si>
    <r>
      <rPr>
        <b/>
        <sz val="26"/>
        <rFont val="Arial"/>
        <family val="2"/>
      </rPr>
      <t xml:space="preserve">TESTTABELLE FÜR ASIL-BEWERTUNG
</t>
    </r>
    <r>
      <rPr>
        <b/>
        <sz val="16"/>
        <rFont val="Arial"/>
        <family val="2"/>
      </rPr>
      <t xml:space="preserve">IN P-HaRa entsprechend einfügen, Formel in ASIL Spalte kopieren und ASIL kontrollieren </t>
    </r>
  </si>
  <si>
    <t>S-
Spalten</t>
  </si>
  <si>
    <t>E-
Spalten</t>
  </si>
  <si>
    <t>C-
Spalten</t>
  </si>
  <si>
    <t>ASIL
Formelchecker</t>
  </si>
  <si>
    <t>SOLL-Ergebnis</t>
  </si>
  <si>
    <t>E0</t>
  </si>
  <si>
    <t>00</t>
  </si>
  <si>
    <t>NA</t>
  </si>
  <si>
    <t>hier Formel einfügen</t>
  </si>
  <si>
    <t>01</t>
  </si>
  <si>
    <t>02</t>
  </si>
  <si>
    <t>QM</t>
  </si>
  <si>
    <t>03</t>
  </si>
  <si>
    <t>04</t>
  </si>
  <si>
    <t>10</t>
  </si>
  <si>
    <t>11</t>
  </si>
  <si>
    <t>12</t>
  </si>
  <si>
    <t>13</t>
  </si>
  <si>
    <t>A</t>
  </si>
  <si>
    <t>14</t>
  </si>
  <si>
    <t>B</t>
  </si>
  <si>
    <t>20</t>
  </si>
  <si>
    <t>21</t>
  </si>
  <si>
    <t>22</t>
  </si>
  <si>
    <t>23</t>
  </si>
  <si>
    <t>24</t>
  </si>
  <si>
    <t>30</t>
  </si>
  <si>
    <t>31</t>
  </si>
  <si>
    <t>32</t>
  </si>
  <si>
    <t>33</t>
  </si>
  <si>
    <t>34</t>
  </si>
  <si>
    <t>D</t>
  </si>
  <si>
    <t>ASIL-Classification</t>
  </si>
  <si>
    <t>S-Parameter</t>
  </si>
  <si>
    <t>E-Parameter</t>
  </si>
  <si>
    <t>C-Parameter</t>
  </si>
  <si>
    <t>ASIL-Level</t>
  </si>
  <si>
    <t>E-Category</t>
  </si>
  <si>
    <t>OPL Prio</t>
  </si>
  <si>
    <t>OPL</t>
  </si>
  <si>
    <t>I3-Status</t>
  </si>
  <si>
    <t>Guide-Words</t>
  </si>
  <si>
    <t>T</t>
  </si>
  <si>
    <t>open</t>
  </si>
  <si>
    <t>ASIL A</t>
  </si>
  <si>
    <t>F</t>
  </si>
  <si>
    <t>In Review</t>
  </si>
  <si>
    <t>always active</t>
  </si>
  <si>
    <t>ASIL B</t>
  </si>
  <si>
    <t>Released</t>
  </si>
  <si>
    <t>Completed</t>
  </si>
  <si>
    <t>ASIL C</t>
  </si>
  <si>
    <t>N/A</t>
  </si>
  <si>
    <t>ASIL D</t>
  </si>
  <si>
    <t>Vehicle state</t>
  </si>
  <si>
    <t>Vehicle speed</t>
  </si>
  <si>
    <t>Weather Conditions</t>
  </si>
  <si>
    <t>Road Surface Conditions</t>
  </si>
  <si>
    <t>All opeating secenrios</t>
  </si>
  <si>
    <t>All vehicle state</t>
  </si>
  <si>
    <t>0 km/h / Standstill</t>
  </si>
  <si>
    <t>All weather conditions</t>
  </si>
  <si>
    <t>All  road surface conditions</t>
  </si>
  <si>
    <t>Highway / Motorway (高速公路)</t>
  </si>
  <si>
    <t>0 &lt; v ≤ 15km/h / low speed</t>
  </si>
  <si>
    <t>Urban Road / City Street (城市道路)</t>
  </si>
  <si>
    <t>15 &lt; v ≤ 30 km/h / low speed</t>
  </si>
  <si>
    <t>Rural Road / Country Lane (乡村道路)</t>
  </si>
  <si>
    <t>30 &lt; v ≤ 60 km/h / Middle speed</t>
  </si>
  <si>
    <t>60 &lt; v ≤ 80 km/h / high speed</t>
  </si>
  <si>
    <t>80 &lt; v ≤ 130 km/h / high speed</t>
  </si>
  <si>
    <t>Parking Lot / Garage (停车场/库)</t>
  </si>
  <si>
    <t>Residential Area / School Zone (居民区/学校区域)</t>
  </si>
  <si>
    <t>Off-road / Unpaved Path (越野/非铺装路面)</t>
  </si>
  <si>
    <t>Accelerating (加速)</t>
  </si>
  <si>
    <t>Sunny / Clear Sky (晴天/晴空)</t>
  </si>
  <si>
    <t>Dry Surface (干燥路面)</t>
  </si>
  <si>
    <t>Decelerating / Braking (减速/制动)</t>
  </si>
  <si>
    <t>Cloudy / Overcast (多云/阴天)</t>
  </si>
  <si>
    <t>Wet Surface (潮湿路面)</t>
  </si>
  <si>
    <t>Cruising / Constant Speed (巡航/匀速行驶)</t>
  </si>
  <si>
    <t>Light Rain (小雨)</t>
  </si>
  <si>
    <t>Icy Surface (结冰路面)</t>
  </si>
  <si>
    <t>Lane Changing (变道)</t>
  </si>
  <si>
    <t>Heavy Rain / Downpour (大雨/暴雨)</t>
  </si>
  <si>
    <t>Snow-covered Surface (积雪路面)</t>
  </si>
  <si>
    <t>Turning Left / Right (左转/右转)</t>
  </si>
  <si>
    <t>Snow / Snowfall (雪/降雪)</t>
  </si>
  <si>
    <t>Gravel / Loose Stones (碎石/松散石子路面)</t>
  </si>
  <si>
    <t>U-Turn (掉头)</t>
  </si>
  <si>
    <t>Fog / Mist (雾/薄雾)</t>
  </si>
  <si>
    <t>Muddy Surface (泥泞路面)</t>
  </si>
  <si>
    <t>Overtaking / Passing (超车)</t>
  </si>
  <si>
    <t>Dense Fog (浓雾)</t>
  </si>
  <si>
    <t>Off road (越野路面)</t>
  </si>
  <si>
    <t>Parking / Maneuvering (泊车/挪车)</t>
  </si>
  <si>
    <t>Hail / Sleet (冰雹/雨夹雪)</t>
  </si>
  <si>
    <t>Standing Water / Puddles (积水/水坑)</t>
  </si>
  <si>
    <t>Starting from Standstill (起步)</t>
  </si>
  <si>
    <t>Strong Wind / Crosswind (强风/侧风)</t>
  </si>
  <si>
    <t>Stopping / Coming to a Halt (停车/刹停)</t>
  </si>
  <si>
    <t>Dust Storm / Sandstorm (沙尘暴)</t>
  </si>
  <si>
    <t>Reversing / Backing Up (倒车)</t>
  </si>
  <si>
    <t>Glare / Direct Sunlight (眩光/阳光直射)</t>
  </si>
  <si>
    <t>Coasting (滑行)</t>
  </si>
  <si>
    <t>Night / Darkness (夜晚/黑暗)</t>
  </si>
  <si>
    <t>Evading / Avoidance Maneuver (避让/紧急规避)</t>
  </si>
  <si>
    <t>Dawn / Dusk / Twilight (黎明/黄昏)</t>
  </si>
  <si>
    <t>Creeping in Traffic Jam (拥堵蠕行)</t>
  </si>
  <si>
    <t>Operating scenarios</t>
    <phoneticPr fontId="52" type="noConversion"/>
  </si>
  <si>
    <t>Railway Crossing / Crossroad ((铁路道口/交叉路口)</t>
    <phoneticPr fontId="52" type="noConversion"/>
  </si>
  <si>
    <t>Montain road （山路）</t>
    <phoneticPr fontId="52" type="noConversion"/>
  </si>
  <si>
    <t>Service Area / Rest Stop (服务区/休息站)</t>
    <phoneticPr fontId="52" type="noConversion"/>
  </si>
  <si>
    <t>Maintenance (维修车间)</t>
    <phoneticPr fontId="52" type="noConversion"/>
  </si>
  <si>
    <t>Tunnel (隧道)</t>
    <phoneticPr fontId="52" type="noConversion"/>
  </si>
  <si>
    <t>Hazard events</t>
    <phoneticPr fontId="54" type="noConversion"/>
  </si>
  <si>
    <t>潜在伤害描述 (Potential Damage)</t>
  </si>
  <si>
    <r>
      <rPr>
        <b/>
        <sz val="11"/>
        <color rgb="FFFFFFFF"/>
        <rFont val="Microsoft YaHei"/>
        <family val="2"/>
        <charset val="134"/>
      </rPr>
      <t xml:space="preserve">严重度 </t>
    </r>
    <r>
      <rPr>
        <b/>
        <sz val="11"/>
        <color rgb="FFFFFFFF"/>
        <rFont val="Arial"/>
        <family val="2"/>
      </rPr>
      <t xml:space="preserve">S </t>
    </r>
    <phoneticPr fontId="54" type="noConversion"/>
  </si>
  <si>
    <t>子系统参考</t>
    <phoneticPr fontId="54" type="noConversion"/>
  </si>
  <si>
    <t>Front collision</t>
  </si>
  <si>
    <t>——</t>
    <phoneticPr fontId="54" type="noConversion"/>
  </si>
  <si>
    <t>Rear-end collision</t>
  </si>
  <si>
    <t>Side collision</t>
  </si>
  <si>
    <t>Collisions with pedestrians</t>
  </si>
  <si>
    <t>Passenger, child or things falling out of vehicle while in motion</t>
    <phoneticPr fontId="54" type="noConversion"/>
  </si>
  <si>
    <t xml:space="preserve"> S3 (with middle and high vehicle speed, &gt;15km/h)</t>
    <phoneticPr fontId="54" type="noConversion"/>
  </si>
  <si>
    <t>Door&amp;Liftgate</t>
  </si>
  <si>
    <t xml:space="preserve"> S2 (with low vehicle speed,&lt;15km/h)</t>
    <phoneticPr fontId="54" type="noConversion"/>
  </si>
  <si>
    <t>Squeeze or pinch</t>
    <phoneticPr fontId="54" type="noConversion"/>
  </si>
  <si>
    <t>Squeeze or pinch resulting in injuries to the passenger - adult</t>
    <phoneticPr fontId="54" type="noConversion"/>
  </si>
  <si>
    <t>S1</t>
    <phoneticPr fontId="54" type="noConversion"/>
  </si>
  <si>
    <t>Seat</t>
  </si>
  <si>
    <t>Squeeze or pinch resulting in injuries to the passenger - child</t>
    <phoneticPr fontId="54" type="noConversion"/>
  </si>
  <si>
    <t xml:space="preserve"> S2</t>
    <phoneticPr fontId="54" type="noConversion"/>
  </si>
  <si>
    <t>Squeeze or pinch resulting in injuries to the driver ; Driver squeezed to steering wheel or air bag;</t>
    <phoneticPr fontId="54" type="noConversion"/>
  </si>
  <si>
    <t>S2</t>
    <phoneticPr fontId="54" type="noConversion"/>
  </si>
  <si>
    <t>Possible rib fracture and asphyxia of the driver or passengers</t>
    <phoneticPr fontId="54" type="noConversion"/>
  </si>
  <si>
    <t>S3</t>
    <phoneticPr fontId="54" type="noConversion"/>
  </si>
  <si>
    <t>Window</t>
  </si>
  <si>
    <t>skin-deep wounds, muscle pains and even light fracture of the driver and passengers</t>
  </si>
  <si>
    <t>Possible fracture of the passenger's finger</t>
    <phoneticPr fontId="54" type="noConversion"/>
  </si>
  <si>
    <t>Fail to escape the vechie after crash</t>
    <phoneticPr fontId="54" type="noConversion"/>
  </si>
  <si>
    <t>The occupants in the vehicle suffered casualties due to the inability to receive timely medical treatment</t>
    <phoneticPr fontId="54" type="noConversion"/>
  </si>
  <si>
    <t>Door&amp;Liftgate</t>
    <phoneticPr fontId="54" type="noConversion"/>
  </si>
  <si>
    <t>Driver and Passenger could not escape the vehicle, which leads to possible asphyxia</t>
    <phoneticPr fontId="54" type="noConversion"/>
  </si>
  <si>
    <t>Asphyxia</t>
    <phoneticPr fontId="54" type="noConversion"/>
  </si>
  <si>
    <t>The pollutional air could lead to asphyxia of the driver and passenger. So the driver could not control the vehicle.</t>
    <phoneticPr fontId="54" type="noConversion"/>
  </si>
  <si>
    <t>Electric shock</t>
    <phoneticPr fontId="54" type="noConversion"/>
  </si>
  <si>
    <t>The dirver or maintainance personal get life threatement due to electric shock,</t>
    <phoneticPr fontId="54" type="noConversion"/>
  </si>
  <si>
    <t xml:space="preserve">High voltage </t>
    <phoneticPr fontId="54" type="noConversion"/>
  </si>
  <si>
    <t>Personal or things falling out of vehicle</t>
    <phoneticPr fontId="54" type="noConversion"/>
  </si>
  <si>
    <r>
      <rPr>
        <sz val="11"/>
        <rFont val="DengXian"/>
        <family val="2"/>
        <charset val="134"/>
      </rPr>
      <t>结合详细场景的车速和道路使用者信息，从本</t>
    </r>
    <r>
      <rPr>
        <sz val="11"/>
        <rFont val="Arial"/>
        <family val="2"/>
      </rPr>
      <t>sheet</t>
    </r>
    <r>
      <rPr>
        <sz val="11"/>
        <rFont val="DengXian"/>
        <family val="2"/>
        <charset val="134"/>
      </rPr>
      <t>的“</t>
    </r>
    <r>
      <rPr>
        <sz val="11"/>
        <rFont val="Arial"/>
        <family val="2"/>
      </rPr>
      <t>I”</t>
    </r>
    <r>
      <rPr>
        <sz val="11"/>
        <rFont val="DengXian"/>
        <family val="2"/>
        <charset val="134"/>
      </rPr>
      <t>列匹配查找对应的</t>
    </r>
    <r>
      <rPr>
        <sz val="11"/>
        <rFont val="Arial"/>
        <family val="2"/>
      </rPr>
      <t>S</t>
    </r>
    <r>
      <rPr>
        <sz val="11"/>
        <rFont val="DengXian"/>
        <family val="2"/>
        <charset val="134"/>
      </rPr>
      <t>值。</t>
    </r>
    <phoneticPr fontId="54" type="noConversion"/>
  </si>
  <si>
    <t>Class of Severity</t>
    <phoneticPr fontId="5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</si>
</sst>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quot;ASIL &quot;@"/>
    <numFmt numFmtId="177" formatCode="yyyy/m/d;@"/>
  </numFmts>
  <fonts count="59">
    <font>
      <sz val="11"/>
      <color theme="1"/>
      <name val="等线"/>
      <charset val="134"/>
      <scheme val="minor"/>
    </font>
    <font>
      <b/>
      <sz val="9"/>
      <color rgb="FF000000"/>
      <name val="The Group TEXT"/>
    </font>
    <font>
      <sz val="10"/>
      <color rgb="FF000000"/>
      <name val="微软雅黑"/>
      <family val="2"/>
    </font>
    <font>
      <b/>
      <sz val="12"/>
      <color theme="1"/>
      <name val="等线"/>
      <scheme val="minor"/>
    </font>
    <font>
      <b/>
      <sz val="11"/>
      <color theme="1"/>
      <name val="等线"/>
      <scheme val="minor"/>
    </font>
    <font>
      <sz val="10"/>
      <color rgb="FF00B0F0"/>
      <name val="Arial"/>
      <family val="2"/>
    </font>
    <font>
      <sz val="10"/>
      <color theme="1"/>
      <name val="等线"/>
      <scheme val="minor"/>
    </font>
    <font>
      <sz val="11"/>
      <name val="Arial"/>
      <family val="2"/>
    </font>
    <font>
      <b/>
      <sz val="14"/>
      <name val="Arial"/>
      <family val="2"/>
    </font>
    <font>
      <sz val="10"/>
      <name val="Arial"/>
      <family val="2"/>
    </font>
    <font>
      <sz val="10"/>
      <color indexed="9"/>
      <name val="Arial"/>
      <family val="2"/>
    </font>
    <font>
      <b/>
      <sz val="26"/>
      <name val="Arial"/>
      <family val="2"/>
    </font>
    <font>
      <b/>
      <sz val="8"/>
      <name val="Arial"/>
      <family val="2"/>
    </font>
    <font>
      <b/>
      <sz val="10"/>
      <color indexed="9"/>
      <name val="Arial"/>
      <family val="2"/>
    </font>
    <font>
      <b/>
      <sz val="8"/>
      <color indexed="22"/>
      <name val="Arial"/>
      <family val="2"/>
    </font>
    <font>
      <b/>
      <sz val="10"/>
      <name val="Arial"/>
      <family val="2"/>
    </font>
    <font>
      <b/>
      <sz val="16"/>
      <color theme="1"/>
      <name val="Arial"/>
      <family val="2"/>
    </font>
    <font>
      <b/>
      <sz val="16"/>
      <color indexed="9"/>
      <name val="Arial"/>
      <family val="2"/>
    </font>
    <font>
      <b/>
      <sz val="11"/>
      <color theme="1"/>
      <name val="Arial"/>
      <family val="2"/>
    </font>
    <font>
      <b/>
      <sz val="10"/>
      <color theme="1"/>
      <name val="Arial"/>
      <family val="2"/>
    </font>
    <font>
      <b/>
      <sz val="11"/>
      <color theme="0"/>
      <name val="Arial"/>
      <family val="2"/>
    </font>
    <font>
      <sz val="10"/>
      <color theme="1"/>
      <name val="Arial"/>
      <family val="2"/>
    </font>
    <font>
      <b/>
      <sz val="10"/>
      <color theme="0"/>
      <name val="Arial"/>
      <family val="2"/>
    </font>
    <font>
      <strike/>
      <sz val="10"/>
      <color theme="1"/>
      <name val="Arial"/>
      <family val="2"/>
    </font>
    <font>
      <u/>
      <sz val="11"/>
      <color theme="10"/>
      <name val="等线"/>
      <scheme val="minor"/>
    </font>
    <font>
      <b/>
      <sz val="10"/>
      <color rgb="FFFF0000"/>
      <name val="Arial"/>
      <family val="2"/>
    </font>
    <font>
      <b/>
      <sz val="14"/>
      <color theme="1"/>
      <name val="等线"/>
      <scheme val="minor"/>
    </font>
    <font>
      <sz val="8"/>
      <name val="Arial"/>
      <family val="2"/>
    </font>
    <font>
      <sz val="8"/>
      <color theme="1"/>
      <name val="等线"/>
      <scheme val="minor"/>
    </font>
    <font>
      <b/>
      <sz val="8"/>
      <color theme="1"/>
      <name val="Arial"/>
      <family val="2"/>
    </font>
    <font>
      <sz val="8"/>
      <color theme="1"/>
      <name val="Arial"/>
      <family val="2"/>
    </font>
    <font>
      <sz val="8"/>
      <color rgb="FF00B0F0"/>
      <name val="Arial"/>
      <family val="2"/>
    </font>
    <font>
      <i/>
      <sz val="10"/>
      <name val="Arial"/>
      <family val="2"/>
    </font>
    <font>
      <sz val="22"/>
      <name val="Wingdings 2"/>
      <family val="1"/>
      <charset val="2"/>
    </font>
    <font>
      <b/>
      <sz val="11"/>
      <name val="Arial"/>
      <family val="2"/>
    </font>
    <font>
      <b/>
      <sz val="14"/>
      <color rgb="FF00B0F0"/>
      <name val="Arial"/>
      <family val="2"/>
    </font>
    <font>
      <sz val="14"/>
      <color rgb="FF00B0F0"/>
      <name val="Arial"/>
      <family val="2"/>
    </font>
    <font>
      <sz val="11"/>
      <color theme="1"/>
      <name val="Arial"/>
      <family val="2"/>
    </font>
    <font>
      <sz val="12"/>
      <color theme="1"/>
      <name val="等线"/>
      <scheme val="minor"/>
    </font>
    <font>
      <b/>
      <sz val="14"/>
      <color theme="1"/>
      <name val="Arial"/>
      <family val="2"/>
    </font>
    <font>
      <b/>
      <sz val="12"/>
      <name val="Arial"/>
      <family val="2"/>
    </font>
    <font>
      <sz val="12"/>
      <color theme="1"/>
      <name val="Arial"/>
      <family val="2"/>
    </font>
    <font>
      <sz val="11"/>
      <color rgb="FF000000"/>
      <name val="等线"/>
    </font>
    <font>
      <b/>
      <sz val="18"/>
      <name val="Arial"/>
      <family val="2"/>
    </font>
    <font>
      <b/>
      <sz val="12"/>
      <color rgb="FF00B0F0"/>
      <name val="Arial"/>
      <family val="2"/>
    </font>
    <font>
      <sz val="9"/>
      <color theme="1"/>
      <name val="等线"/>
      <scheme val="minor"/>
    </font>
    <font>
      <sz val="11"/>
      <color theme="1"/>
      <name val="等线"/>
      <scheme val="minor"/>
    </font>
    <font>
      <sz val="9.5"/>
      <name val="Arial"/>
      <family val="2"/>
    </font>
    <font>
      <vertAlign val="subscript"/>
      <sz val="10"/>
      <color theme="1"/>
      <name val="Arial"/>
      <family val="2"/>
    </font>
    <font>
      <sz val="11"/>
      <color rgb="FF000000"/>
      <name val="汉仪书宋二KW"/>
      <charset val="134"/>
    </font>
    <font>
      <b/>
      <sz val="16"/>
      <name val="Arial"/>
      <family val="2"/>
    </font>
    <font>
      <sz val="11"/>
      <color theme="1"/>
      <name val="等线"/>
      <scheme val="minor"/>
    </font>
    <font>
      <sz val="9"/>
      <name val="等线"/>
      <scheme val="minor"/>
    </font>
    <font>
      <b/>
      <sz val="11"/>
      <color rgb="FFFFFFFF"/>
      <name val="Arial"/>
      <family val="2"/>
    </font>
    <font>
      <sz val="9"/>
      <name val="等线"/>
      <family val="3"/>
      <charset val="134"/>
      <scheme val="minor"/>
    </font>
    <font>
      <b/>
      <sz val="11"/>
      <color rgb="FFFFFFFF"/>
      <name val="Arial"/>
      <family val="2"/>
      <charset val="134"/>
    </font>
    <font>
      <b/>
      <sz val="11"/>
      <color rgb="FFFFFFFF"/>
      <name val="Microsoft YaHei"/>
      <family val="2"/>
      <charset val="134"/>
    </font>
    <font>
      <sz val="11"/>
      <name val="DengXian"/>
      <family val="2"/>
      <charset val="134"/>
    </font>
    <font>
      <sz val="11"/>
      <name val="Arial"/>
      <family val="2"/>
      <charset val="134"/>
    </font>
  </fonts>
  <fills count="27">
    <fill>
      <patternFill patternType="none"/>
    </fill>
    <fill>
      <patternFill patternType="gray125"/>
    </fill>
    <fill>
      <patternFill patternType="solid">
        <fgColor rgb="FFD9D9D9"/>
        <bgColor indexed="64"/>
      </patternFill>
    </fill>
    <fill>
      <patternFill patternType="solid">
        <fgColor theme="2"/>
        <bgColor indexed="64"/>
      </patternFill>
    </fill>
    <fill>
      <patternFill patternType="solid">
        <fgColor indexed="9"/>
        <bgColor indexed="64"/>
      </patternFill>
    </fill>
    <fill>
      <patternFill patternType="solid">
        <fgColor indexed="55"/>
        <bgColor indexed="64"/>
      </patternFill>
    </fill>
    <fill>
      <patternFill patternType="lightUp">
        <bgColor indexed="22"/>
      </patternFill>
    </fill>
    <fill>
      <patternFill patternType="solid">
        <fgColor indexed="42"/>
        <bgColor indexed="64"/>
      </patternFill>
    </fill>
    <fill>
      <patternFill patternType="solid">
        <fgColor indexed="43"/>
        <bgColor indexed="64"/>
      </patternFill>
    </fill>
    <fill>
      <patternFill patternType="solid">
        <fgColor indexed="51"/>
        <bgColor indexed="64"/>
      </patternFill>
    </fill>
    <fill>
      <patternFill patternType="solid">
        <fgColor indexed="52"/>
        <bgColor indexed="64"/>
      </patternFill>
    </fill>
    <fill>
      <patternFill patternType="solid">
        <fgColor indexed="10"/>
        <bgColor indexed="64"/>
      </patternFill>
    </fill>
    <fill>
      <patternFill patternType="solid">
        <fgColor indexed="13"/>
        <bgColor indexed="64"/>
      </patternFill>
    </fill>
    <fill>
      <patternFill patternType="solid">
        <fgColor indexed="44"/>
        <bgColor indexed="64"/>
      </patternFill>
    </fill>
    <fill>
      <patternFill patternType="solid">
        <fgColor theme="0" tint="-0.14996795556505021"/>
        <bgColor indexed="64"/>
      </patternFill>
    </fill>
    <fill>
      <patternFill patternType="solid">
        <fgColor theme="0" tint="-0.249977111117893"/>
        <bgColor indexed="64"/>
      </patternFill>
    </fill>
    <fill>
      <patternFill patternType="solid">
        <fgColor theme="3" tint="-0.249977111117893"/>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5117038483843"/>
        <bgColor indexed="64"/>
      </patternFill>
    </fill>
    <fill>
      <patternFill patternType="solid">
        <fgColor rgb="FFFFFF00"/>
        <bgColor indexed="64"/>
      </patternFill>
    </fill>
    <fill>
      <patternFill patternType="solid">
        <fgColor rgb="FFFFFF99"/>
        <bgColor indexed="64"/>
      </patternFill>
    </fill>
    <fill>
      <patternFill patternType="solid">
        <fgColor rgb="FFFFC000"/>
        <bgColor indexed="64"/>
      </patternFill>
    </fill>
    <fill>
      <patternFill patternType="solid">
        <fgColor theme="0" tint="-0.34998626667073579"/>
        <bgColor indexed="64"/>
      </patternFill>
    </fill>
    <fill>
      <patternFill patternType="solid">
        <fgColor rgb="FFFFFFFF"/>
        <bgColor indexed="64"/>
      </patternFill>
    </fill>
    <fill>
      <patternFill patternType="solid">
        <fgColor rgb="FF1F4E79"/>
        <bgColor rgb="FF1F4E79"/>
      </patternFill>
    </fill>
  </fills>
  <borders count="125">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theme="1"/>
      </left>
      <right style="thin">
        <color theme="1"/>
      </right>
      <top/>
      <bottom style="thin">
        <color theme="1"/>
      </bottom>
      <diagonal/>
    </border>
    <border>
      <left style="medium">
        <color theme="1"/>
      </left>
      <right style="thin">
        <color theme="1"/>
      </right>
      <top style="thin">
        <color theme="1"/>
      </top>
      <bottom style="thin">
        <color theme="1"/>
      </bottom>
      <diagonal/>
    </border>
    <border>
      <left style="medium">
        <color theme="1"/>
      </left>
      <right style="thin">
        <color theme="1"/>
      </right>
      <top style="thin">
        <color theme="1"/>
      </top>
      <bottom style="thin">
        <color auto="1"/>
      </bottom>
      <diagonal/>
    </border>
    <border>
      <left style="medium">
        <color theme="1"/>
      </left>
      <right/>
      <top style="medium">
        <color theme="1"/>
      </top>
      <bottom/>
      <diagonal/>
    </border>
    <border>
      <left/>
      <right/>
      <top style="medium">
        <color theme="1"/>
      </top>
      <bottom/>
      <diagonal/>
    </border>
    <border>
      <left style="medium">
        <color theme="1"/>
      </left>
      <right/>
      <top/>
      <bottom style="medium">
        <color theme="1"/>
      </bottom>
      <diagonal/>
    </border>
    <border>
      <left/>
      <right/>
      <top/>
      <bottom style="medium">
        <color theme="1"/>
      </bottom>
      <diagonal/>
    </border>
    <border>
      <left style="medium">
        <color theme="1"/>
      </left>
      <right style="medium">
        <color indexed="9"/>
      </right>
      <top/>
      <bottom/>
      <diagonal/>
    </border>
    <border>
      <left style="medium">
        <color indexed="9"/>
      </left>
      <right style="medium">
        <color indexed="9"/>
      </right>
      <top/>
      <bottom/>
      <diagonal/>
    </border>
    <border>
      <left style="medium">
        <color theme="1"/>
      </left>
      <right style="medium">
        <color indexed="9"/>
      </right>
      <top style="medium">
        <color auto="1"/>
      </top>
      <bottom/>
      <diagonal/>
    </border>
    <border>
      <left style="medium">
        <color indexed="9"/>
      </left>
      <right style="medium">
        <color indexed="9"/>
      </right>
      <top style="medium">
        <color auto="1"/>
      </top>
      <bottom style="medium">
        <color indexed="9"/>
      </bottom>
      <diagonal/>
    </border>
    <border>
      <left style="medium">
        <color indexed="9"/>
      </left>
      <right style="medium">
        <color indexed="9"/>
      </right>
      <top style="medium">
        <color indexed="9"/>
      </top>
      <bottom style="medium">
        <color indexed="9"/>
      </bottom>
      <diagonal/>
    </border>
    <border>
      <left style="medium">
        <color theme="1"/>
      </left>
      <right style="medium">
        <color indexed="9"/>
      </right>
      <top/>
      <bottom style="medium">
        <color auto="1"/>
      </bottom>
      <diagonal/>
    </border>
    <border>
      <left style="medium">
        <color indexed="9"/>
      </left>
      <right style="medium">
        <color indexed="9"/>
      </right>
      <top style="medium">
        <color indexed="9"/>
      </top>
      <bottom style="medium">
        <color auto="1"/>
      </bottom>
      <diagonal/>
    </border>
    <border>
      <left style="medium">
        <color theme="1"/>
      </left>
      <right style="medium">
        <color indexed="9"/>
      </right>
      <top style="medium">
        <color auto="1"/>
      </top>
      <bottom style="medium">
        <color indexed="9"/>
      </bottom>
      <diagonal/>
    </border>
    <border>
      <left style="medium">
        <color theme="1"/>
      </left>
      <right style="medium">
        <color indexed="9"/>
      </right>
      <top style="medium">
        <color indexed="9"/>
      </top>
      <bottom style="medium">
        <color indexed="9"/>
      </bottom>
      <diagonal/>
    </border>
    <border>
      <left style="medium">
        <color theme="1"/>
      </left>
      <right style="medium">
        <color indexed="9"/>
      </right>
      <top style="medium">
        <color indexed="9"/>
      </top>
      <bottom style="medium">
        <color auto="1"/>
      </bottom>
      <diagonal/>
    </border>
    <border>
      <left style="medium">
        <color theme="1"/>
      </left>
      <right style="medium">
        <color indexed="9"/>
      </right>
      <top style="medium">
        <color indexed="9"/>
      </top>
      <bottom style="medium">
        <color theme="1"/>
      </bottom>
      <diagonal/>
    </border>
    <border>
      <left style="medium">
        <color indexed="9"/>
      </left>
      <right style="medium">
        <color indexed="9"/>
      </right>
      <top style="medium">
        <color indexed="9"/>
      </top>
      <bottom style="medium">
        <color theme="1"/>
      </bottom>
      <diagonal/>
    </border>
    <border>
      <left/>
      <right style="medium">
        <color theme="1"/>
      </right>
      <top style="medium">
        <color theme="1"/>
      </top>
      <bottom/>
      <diagonal/>
    </border>
    <border>
      <left/>
      <right style="medium">
        <color theme="1"/>
      </right>
      <top/>
      <bottom style="medium">
        <color theme="1"/>
      </bottom>
      <diagonal/>
    </border>
    <border>
      <left style="medium">
        <color indexed="9"/>
      </left>
      <right style="medium">
        <color theme="1"/>
      </right>
      <top/>
      <bottom/>
      <diagonal/>
    </border>
    <border>
      <left style="medium">
        <color indexed="9"/>
      </left>
      <right style="medium">
        <color theme="1"/>
      </right>
      <top style="medium">
        <color auto="1"/>
      </top>
      <bottom style="medium">
        <color indexed="9"/>
      </bottom>
      <diagonal/>
    </border>
    <border>
      <left style="medium">
        <color indexed="9"/>
      </left>
      <right style="medium">
        <color theme="1"/>
      </right>
      <top style="medium">
        <color indexed="9"/>
      </top>
      <bottom style="medium">
        <color indexed="9"/>
      </bottom>
      <diagonal/>
    </border>
    <border>
      <left style="medium">
        <color indexed="9"/>
      </left>
      <right style="medium">
        <color theme="1"/>
      </right>
      <top style="medium">
        <color indexed="9"/>
      </top>
      <bottom style="medium">
        <color auto="1"/>
      </bottom>
      <diagonal/>
    </border>
    <border>
      <left style="medium">
        <color indexed="9"/>
      </left>
      <right style="medium">
        <color theme="1"/>
      </right>
      <top style="medium">
        <color indexed="9"/>
      </top>
      <bottom style="medium">
        <color theme="1"/>
      </bottom>
      <diagonal/>
    </border>
    <border>
      <left style="medium">
        <color auto="1"/>
      </left>
      <right style="thin">
        <color auto="1"/>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style="medium">
        <color auto="1"/>
      </bottom>
      <diagonal/>
    </border>
    <border>
      <left/>
      <right/>
      <top/>
      <bottom style="medium">
        <color auto="1"/>
      </bottom>
      <diagonal/>
    </border>
    <border>
      <left/>
      <right/>
      <top/>
      <bottom style="thin">
        <color auto="1"/>
      </bottom>
      <diagonal/>
    </border>
    <border>
      <left style="medium">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medium">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medium">
        <color auto="1"/>
      </left>
      <right style="thin">
        <color auto="1"/>
      </right>
      <top style="thin">
        <color auto="1"/>
      </top>
      <bottom style="thin">
        <color auto="1"/>
      </bottom>
      <diagonal/>
    </border>
    <border>
      <left style="thin">
        <color theme="0"/>
      </left>
      <right style="thin">
        <color auto="1"/>
      </right>
      <top style="thin">
        <color auto="1"/>
      </top>
      <bottom style="thin">
        <color theme="0"/>
      </bottom>
      <diagonal/>
    </border>
    <border>
      <left style="thin">
        <color auto="1"/>
      </left>
      <right style="thin">
        <color auto="1"/>
      </right>
      <top/>
      <bottom/>
      <diagonal/>
    </border>
    <border>
      <left style="thin">
        <color auto="1"/>
      </left>
      <right style="thin">
        <color theme="0"/>
      </right>
      <top style="thin">
        <color auto="1"/>
      </top>
      <bottom style="thin">
        <color theme="0"/>
      </bottom>
      <diagonal/>
    </border>
    <border>
      <left style="thin">
        <color theme="0"/>
      </left>
      <right style="thin">
        <color auto="1"/>
      </right>
      <top style="thin">
        <color theme="0"/>
      </top>
      <bottom style="thin">
        <color auto="1"/>
      </bottom>
      <diagonal/>
    </border>
    <border>
      <left style="thin">
        <color auto="1"/>
      </left>
      <right style="thin">
        <color theme="0"/>
      </right>
      <top style="thin">
        <color theme="0"/>
      </top>
      <bottom style="thin">
        <color auto="1"/>
      </bottom>
      <diagonal/>
    </border>
    <border>
      <left/>
      <right style="medium">
        <color auto="1"/>
      </right>
      <top style="medium">
        <color auto="1"/>
      </top>
      <bottom/>
      <diagonal/>
    </border>
    <border>
      <left/>
      <right style="medium">
        <color auto="1"/>
      </right>
      <top/>
      <bottom style="medium">
        <color auto="1"/>
      </bottom>
      <diagonal/>
    </border>
    <border>
      <left style="thin">
        <color auto="1"/>
      </left>
      <right style="thin">
        <color theme="0"/>
      </right>
      <top style="thin">
        <color auto="1"/>
      </top>
      <bottom/>
      <diagonal/>
    </border>
    <border>
      <left style="thin">
        <color theme="0"/>
      </left>
      <right style="medium">
        <color auto="1"/>
      </right>
      <top style="thin">
        <color auto="1"/>
      </top>
      <bottom/>
      <diagonal/>
    </border>
    <border>
      <left style="thin">
        <color auto="1"/>
      </left>
      <right style="thin">
        <color theme="0"/>
      </right>
      <top/>
      <bottom style="thin">
        <color auto="1"/>
      </bottom>
      <diagonal/>
    </border>
    <border>
      <left style="thin">
        <color theme="0"/>
      </left>
      <right style="medium">
        <color auto="1"/>
      </right>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theme="1"/>
      </left>
      <right style="thin">
        <color auto="1"/>
      </right>
      <top style="medium">
        <color theme="1"/>
      </top>
      <bottom style="medium">
        <color theme="1"/>
      </bottom>
      <diagonal/>
    </border>
    <border>
      <left style="thin">
        <color auto="1"/>
      </left>
      <right style="thin">
        <color auto="1"/>
      </right>
      <top style="medium">
        <color theme="1"/>
      </top>
      <bottom style="medium">
        <color theme="1"/>
      </bottom>
      <diagonal/>
    </border>
    <border>
      <left style="medium">
        <color theme="1"/>
      </left>
      <right style="thin">
        <color auto="1"/>
      </right>
      <top/>
      <bottom style="thin">
        <color auto="1"/>
      </bottom>
      <diagonal/>
    </border>
    <border>
      <left style="thin">
        <color auto="1"/>
      </left>
      <right style="thin">
        <color auto="1"/>
      </right>
      <top/>
      <bottom style="thin">
        <color auto="1"/>
      </bottom>
      <diagonal/>
    </border>
    <border>
      <left style="medium">
        <color theme="1"/>
      </left>
      <right style="thin">
        <color auto="1"/>
      </right>
      <top style="thin">
        <color auto="1"/>
      </top>
      <bottom style="thin">
        <color auto="1"/>
      </bottom>
      <diagonal/>
    </border>
    <border>
      <left style="thin">
        <color auto="1"/>
      </left>
      <right style="medium">
        <color theme="1"/>
      </right>
      <top style="medium">
        <color theme="1"/>
      </top>
      <bottom style="medium">
        <color theme="1"/>
      </bottom>
      <diagonal/>
    </border>
    <border>
      <left style="thin">
        <color auto="1"/>
      </left>
      <right style="medium">
        <color theme="1"/>
      </right>
      <top/>
      <bottom style="thin">
        <color auto="1"/>
      </bottom>
      <diagonal/>
    </border>
    <border>
      <left style="thin">
        <color auto="1"/>
      </left>
      <right style="medium">
        <color theme="1"/>
      </right>
      <top style="thin">
        <color auto="1"/>
      </top>
      <bottom style="thin">
        <color auto="1"/>
      </bottom>
      <diagonal/>
    </border>
    <border>
      <left style="thin">
        <color auto="1"/>
      </left>
      <right style="medium">
        <color theme="1"/>
      </right>
      <top/>
      <bottom/>
      <diagonal/>
    </border>
    <border>
      <left style="thin">
        <color auto="1"/>
      </left>
      <right style="medium">
        <color theme="1"/>
      </right>
      <top style="thin">
        <color auto="1"/>
      </top>
      <bottom/>
      <diagonal/>
    </border>
    <border>
      <left style="medium">
        <color theme="1"/>
      </left>
      <right style="thin">
        <color auto="1"/>
      </right>
      <top style="thin">
        <color auto="1"/>
      </top>
      <bottom style="medium">
        <color theme="1"/>
      </bottom>
      <diagonal/>
    </border>
    <border>
      <left style="thin">
        <color auto="1"/>
      </left>
      <right style="thin">
        <color auto="1"/>
      </right>
      <top style="thin">
        <color auto="1"/>
      </top>
      <bottom style="medium">
        <color theme="1"/>
      </bottom>
      <diagonal/>
    </border>
    <border>
      <left style="thin">
        <color auto="1"/>
      </left>
      <right style="medium">
        <color theme="1"/>
      </right>
      <top style="thin">
        <color auto="1"/>
      </top>
      <bottom style="medium">
        <color theme="1"/>
      </bottom>
      <diagonal/>
    </border>
    <border>
      <left style="medium">
        <color theme="1"/>
      </left>
      <right/>
      <top style="medium">
        <color theme="1"/>
      </top>
      <bottom style="double">
        <color auto="1"/>
      </bottom>
      <diagonal/>
    </border>
    <border>
      <left/>
      <right/>
      <top style="medium">
        <color theme="1"/>
      </top>
      <bottom style="double">
        <color auto="1"/>
      </bottom>
      <diagonal/>
    </border>
    <border>
      <left style="medium">
        <color theme="1"/>
      </left>
      <right style="thin">
        <color theme="1"/>
      </right>
      <top style="medium">
        <color theme="1"/>
      </top>
      <bottom style="medium">
        <color theme="1"/>
      </bottom>
      <diagonal/>
    </border>
    <border>
      <left style="thin">
        <color theme="1"/>
      </left>
      <right style="thin">
        <color theme="1"/>
      </right>
      <top style="medium">
        <color theme="1"/>
      </top>
      <bottom style="medium">
        <color theme="1"/>
      </bottom>
      <diagonal/>
    </border>
    <border>
      <left style="thin">
        <color theme="1"/>
      </left>
      <right style="thin">
        <color theme="1"/>
      </right>
      <top/>
      <bottom style="thin">
        <color theme="1"/>
      </bottom>
      <diagonal/>
    </border>
    <border>
      <left style="thin">
        <color theme="1"/>
      </left>
      <right style="thin">
        <color theme="1"/>
      </right>
      <top style="thin">
        <color theme="1"/>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right style="medium">
        <color theme="1"/>
      </right>
      <top style="medium">
        <color theme="1"/>
      </top>
      <bottom style="double">
        <color auto="1"/>
      </bottom>
      <diagonal/>
    </border>
    <border>
      <left style="thin">
        <color theme="1"/>
      </left>
      <right style="medium">
        <color theme="1"/>
      </right>
      <top style="medium">
        <color theme="1"/>
      </top>
      <bottom style="medium">
        <color theme="1"/>
      </bottom>
      <diagonal/>
    </border>
    <border>
      <left style="thin">
        <color theme="1"/>
      </left>
      <right style="medium">
        <color theme="1"/>
      </right>
      <top/>
      <bottom style="thin">
        <color theme="1"/>
      </bottom>
      <diagonal/>
    </border>
    <border>
      <left style="thin">
        <color theme="1"/>
      </left>
      <right style="medium">
        <color theme="1"/>
      </right>
      <top style="thin">
        <color theme="1"/>
      </top>
      <bottom style="thin">
        <color theme="1"/>
      </bottom>
      <diagonal/>
    </border>
    <border>
      <left style="thin">
        <color theme="1"/>
      </left>
      <right style="medium">
        <color theme="1"/>
      </right>
      <top style="thin">
        <color theme="1"/>
      </top>
      <bottom style="medium">
        <color theme="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style="thin">
        <color theme="1"/>
      </right>
      <top style="medium">
        <color theme="1"/>
      </top>
      <bottom style="thin">
        <color theme="1"/>
      </bottom>
      <diagonal/>
    </border>
    <border>
      <left style="thin">
        <color theme="1"/>
      </left>
      <right style="thin">
        <color theme="1"/>
      </right>
      <top style="medium">
        <color theme="1"/>
      </top>
      <bottom style="thin">
        <color theme="1"/>
      </bottom>
      <diagonal/>
    </border>
    <border>
      <left style="medium">
        <color theme="1"/>
      </left>
      <right/>
      <top/>
      <bottom/>
      <diagonal/>
    </border>
    <border>
      <left style="thin">
        <color theme="1"/>
      </left>
      <right style="medium">
        <color theme="1"/>
      </right>
      <top style="medium">
        <color theme="1"/>
      </top>
      <bottom style="thin">
        <color theme="1"/>
      </bottom>
      <diagonal/>
    </border>
    <border>
      <left/>
      <right style="medium">
        <color theme="1"/>
      </right>
      <top/>
      <bottom/>
      <diagonal/>
    </border>
    <border>
      <left style="medium">
        <color auto="1"/>
      </left>
      <right style="medium">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auto="1"/>
      </left>
      <right style="thin">
        <color auto="1"/>
      </right>
      <top style="thin">
        <color auto="1"/>
      </top>
      <bottom/>
      <diagonal/>
    </border>
    <border>
      <left style="medium">
        <color auto="1"/>
      </left>
      <right/>
      <top/>
      <bottom/>
      <diagonal/>
    </border>
    <border>
      <left style="thin">
        <color auto="1"/>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medium">
        <color auto="1"/>
      </left>
      <right style="medium">
        <color auto="1"/>
      </right>
      <top style="medium">
        <color auto="1"/>
      </top>
      <bottom/>
      <diagonal/>
    </border>
    <border>
      <left/>
      <right style="medium">
        <color auto="1"/>
      </right>
      <top style="medium">
        <color auto="1"/>
      </top>
      <bottom style="medium">
        <color auto="1"/>
      </bottom>
      <diagonal/>
    </border>
    <border>
      <left style="thin">
        <color theme="1"/>
      </left>
      <right style="medium">
        <color theme="1"/>
      </right>
      <top style="thin">
        <color theme="1"/>
      </top>
      <bottom style="thin">
        <color auto="1"/>
      </bottom>
      <diagonal/>
    </border>
    <border>
      <left/>
      <right style="thin">
        <color auto="1"/>
      </right>
      <top style="thin">
        <color auto="1"/>
      </top>
      <bottom style="medium">
        <color auto="1"/>
      </bottom>
      <diagonal/>
    </border>
    <border>
      <left style="thin">
        <color auto="1"/>
      </left>
      <right style="medium">
        <color auto="1"/>
      </right>
      <top/>
      <bottom style="thin">
        <color auto="1"/>
      </bottom>
      <diagonal/>
    </border>
    <border>
      <left style="medium">
        <color auto="1"/>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right style="medium">
        <color auto="1"/>
      </right>
      <top/>
      <bottom/>
      <diagonal/>
    </border>
    <border>
      <left/>
      <right/>
      <top style="thin">
        <color auto="1"/>
      </top>
      <bottom/>
      <diagonal/>
    </border>
    <border>
      <left/>
      <right style="medium">
        <color auto="1"/>
      </right>
      <top/>
      <bottom style="thin">
        <color auto="1"/>
      </bottom>
      <diagonal/>
    </border>
    <border>
      <left/>
      <right style="medium">
        <color auto="1"/>
      </right>
      <top style="thin">
        <color auto="1"/>
      </top>
      <bottom style="thin">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thin">
        <color auto="1"/>
      </top>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style="thin">
        <color auto="1"/>
      </left>
      <right/>
      <top style="medium">
        <color auto="1"/>
      </top>
      <bottom/>
      <diagonal/>
    </border>
  </borders>
  <cellStyleXfs count="14">
    <xf numFmtId="0" fontId="0" fillId="0" borderId="0"/>
    <xf numFmtId="0" fontId="24" fillId="0" borderId="0" applyNumberFormat="0" applyFill="0" applyBorder="0" applyAlignment="0" applyProtection="0"/>
    <xf numFmtId="0" fontId="51" fillId="0" borderId="0"/>
    <xf numFmtId="0" fontId="9" fillId="0" borderId="0"/>
    <xf numFmtId="0" fontId="51" fillId="0" borderId="0"/>
    <xf numFmtId="0" fontId="9" fillId="0" borderId="0"/>
    <xf numFmtId="0" fontId="9" fillId="0" borderId="0"/>
    <xf numFmtId="0" fontId="47" fillId="0" borderId="0"/>
    <xf numFmtId="0" fontId="47" fillId="0" borderId="0"/>
    <xf numFmtId="0" fontId="9" fillId="0" borderId="0"/>
    <xf numFmtId="0" fontId="9" fillId="0" borderId="0"/>
    <xf numFmtId="0" fontId="7" fillId="0" borderId="0"/>
    <xf numFmtId="0" fontId="51" fillId="0" borderId="0"/>
    <xf numFmtId="0" fontId="51" fillId="0" borderId="0"/>
  </cellStyleXfs>
  <cellXfs count="564">
    <xf numFmtId="0" fontId="0" fillId="0" borderId="0" xfId="0"/>
    <xf numFmtId="0" fontId="1" fillId="2" borderId="1" xfId="0" applyFont="1" applyFill="1" applyBorder="1" applyAlignment="1">
      <alignment horizontal="justify" vertical="top" wrapText="1"/>
    </xf>
    <xf numFmtId="0" fontId="2" fillId="0" borderId="2" xfId="0" applyFont="1" applyBorder="1" applyAlignment="1">
      <alignment horizontal="justify" wrapText="1"/>
    </xf>
    <xf numFmtId="0" fontId="4" fillId="0" borderId="5" xfId="0" applyFont="1" applyBorder="1"/>
    <xf numFmtId="0" fontId="0" fillId="0" borderId="5" xfId="0" applyBorder="1"/>
    <xf numFmtId="0" fontId="5" fillId="0" borderId="5" xfId="0" applyFont="1" applyBorder="1" applyAlignment="1" applyProtection="1">
      <alignment horizontal="left" vertical="top" wrapText="1"/>
      <protection locked="0"/>
    </xf>
    <xf numFmtId="0" fontId="5" fillId="0" borderId="0" xfId="0" applyFont="1" applyAlignment="1" applyProtection="1">
      <alignment horizontal="left" vertical="top" wrapText="1"/>
      <protection locked="0"/>
    </xf>
    <xf numFmtId="0" fontId="0" fillId="0" borderId="5" xfId="0" applyBorder="1" applyAlignment="1">
      <alignment horizontal="center"/>
    </xf>
    <xf numFmtId="0" fontId="6" fillId="3" borderId="7" xfId="2" applyFont="1" applyFill="1" applyBorder="1" applyAlignment="1">
      <alignment horizontal="left" vertical="center" wrapText="1"/>
    </xf>
    <xf numFmtId="0" fontId="6" fillId="3" borderId="8" xfId="2" applyFont="1" applyFill="1" applyBorder="1" applyAlignment="1">
      <alignment horizontal="left" vertical="center"/>
    </xf>
    <xf numFmtId="0" fontId="6" fillId="3" borderId="8" xfId="2" applyFont="1" applyFill="1" applyBorder="1" applyAlignment="1">
      <alignment horizontal="left" vertical="center" wrapText="1"/>
    </xf>
    <xf numFmtId="0" fontId="6" fillId="3" borderId="8" xfId="2" applyFont="1" applyFill="1" applyBorder="1" applyAlignment="1">
      <alignment wrapText="1"/>
    </xf>
    <xf numFmtId="0" fontId="6" fillId="3" borderId="9" xfId="2" applyFont="1" applyFill="1" applyBorder="1" applyAlignment="1">
      <alignment horizontal="left" vertical="center" wrapText="1"/>
    </xf>
    <xf numFmtId="0" fontId="7" fillId="0" borderId="0" xfId="11" applyAlignment="1">
      <alignment horizontal="center"/>
    </xf>
    <xf numFmtId="0" fontId="9" fillId="0" borderId="14" xfId="11" applyFont="1" applyBorder="1" applyAlignment="1">
      <alignment vertical="center"/>
    </xf>
    <xf numFmtId="0" fontId="9" fillId="0" borderId="15" xfId="11" applyFont="1" applyBorder="1" applyAlignment="1">
      <alignment vertical="center"/>
    </xf>
    <xf numFmtId="0" fontId="9" fillId="4" borderId="15" xfId="11" applyFont="1" applyFill="1" applyBorder="1" applyAlignment="1">
      <alignment vertical="center"/>
    </xf>
    <xf numFmtId="0" fontId="10" fillId="5" borderId="17" xfId="11" applyFont="1" applyFill="1" applyBorder="1" applyAlignment="1">
      <alignment horizontal="center" vertical="center"/>
    </xf>
    <xf numFmtId="0" fontId="10" fillId="5" borderId="18" xfId="11" applyFont="1" applyFill="1" applyBorder="1" applyAlignment="1">
      <alignment horizontal="center" vertical="center"/>
    </xf>
    <xf numFmtId="0" fontId="10" fillId="5" borderId="20" xfId="11" applyFont="1" applyFill="1" applyBorder="1" applyAlignment="1">
      <alignment horizontal="center" vertical="center"/>
    </xf>
    <xf numFmtId="0" fontId="10" fillId="5" borderId="25" xfId="11" applyFont="1" applyFill="1" applyBorder="1" applyAlignment="1">
      <alignment horizontal="center" vertical="center"/>
    </xf>
    <xf numFmtId="0" fontId="10" fillId="5" borderId="15" xfId="11" applyFont="1" applyFill="1" applyBorder="1" applyAlignment="1">
      <alignment horizontal="center" vertical="center"/>
    </xf>
    <xf numFmtId="0" fontId="10" fillId="5" borderId="28" xfId="11" applyFont="1" applyFill="1" applyBorder="1" applyAlignment="1">
      <alignment horizontal="center" vertical="center"/>
    </xf>
    <xf numFmtId="0" fontId="9" fillId="7" borderId="17" xfId="11" applyFont="1" applyFill="1" applyBorder="1" applyAlignment="1">
      <alignment horizontal="center" vertical="center"/>
    </xf>
    <xf numFmtId="0" fontId="9" fillId="7" borderId="29" xfId="11" applyFont="1" applyFill="1" applyBorder="1" applyAlignment="1">
      <alignment horizontal="center" vertical="center"/>
    </xf>
    <xf numFmtId="0" fontId="9" fillId="7" borderId="18" xfId="11" applyFont="1" applyFill="1" applyBorder="1" applyAlignment="1">
      <alignment horizontal="center" vertical="center"/>
    </xf>
    <xf numFmtId="0" fontId="9" fillId="7" borderId="30" xfId="11" applyFont="1" applyFill="1" applyBorder="1" applyAlignment="1">
      <alignment horizontal="center" vertical="center"/>
    </xf>
    <xf numFmtId="0" fontId="9" fillId="8" borderId="30" xfId="11" applyFont="1" applyFill="1" applyBorder="1" applyAlignment="1">
      <alignment horizontal="center" vertical="center"/>
    </xf>
    <xf numFmtId="0" fontId="9" fillId="7" borderId="20" xfId="11" applyFont="1" applyFill="1" applyBorder="1" applyAlignment="1">
      <alignment horizontal="center" vertical="center"/>
    </xf>
    <xf numFmtId="0" fontId="9" fillId="8" borderId="20" xfId="11" applyFont="1" applyFill="1" applyBorder="1" applyAlignment="1">
      <alignment horizontal="center" vertical="center"/>
    </xf>
    <xf numFmtId="0" fontId="9" fillId="9" borderId="31" xfId="11" applyFont="1" applyFill="1" applyBorder="1" applyAlignment="1">
      <alignment horizontal="center" vertical="center"/>
    </xf>
    <xf numFmtId="0" fontId="9" fillId="8" borderId="18" xfId="11" applyFont="1" applyFill="1" applyBorder="1" applyAlignment="1">
      <alignment horizontal="center" vertical="center"/>
    </xf>
    <xf numFmtId="0" fontId="9" fillId="9" borderId="30" xfId="11" applyFont="1" applyFill="1" applyBorder="1" applyAlignment="1">
      <alignment horizontal="center" vertical="center"/>
    </xf>
    <xf numFmtId="0" fontId="9" fillId="9" borderId="20" xfId="11" applyFont="1" applyFill="1" applyBorder="1" applyAlignment="1">
      <alignment horizontal="center" vertical="center"/>
    </xf>
    <xf numFmtId="0" fontId="10" fillId="10" borderId="31" xfId="11" applyFont="1" applyFill="1" applyBorder="1" applyAlignment="1">
      <alignment horizontal="center" vertical="center"/>
    </xf>
    <xf numFmtId="0" fontId="9" fillId="9" borderId="18" xfId="11" applyFont="1" applyFill="1" applyBorder="1" applyAlignment="1">
      <alignment horizontal="center" vertical="center"/>
    </xf>
    <xf numFmtId="0" fontId="10" fillId="10" borderId="30" xfId="11" applyFont="1" applyFill="1" applyBorder="1" applyAlignment="1">
      <alignment horizontal="center" vertical="center"/>
    </xf>
    <xf numFmtId="0" fontId="9" fillId="7" borderId="25" xfId="11" applyFont="1" applyFill="1" applyBorder="1" applyAlignment="1">
      <alignment horizontal="center" vertical="center"/>
    </xf>
    <xf numFmtId="0" fontId="9" fillId="9" borderId="25" xfId="11" applyFont="1" applyFill="1" applyBorder="1" applyAlignment="1">
      <alignment horizontal="center" vertical="center"/>
    </xf>
    <xf numFmtId="0" fontId="10" fillId="10" borderId="25" xfId="11" applyFont="1" applyFill="1" applyBorder="1" applyAlignment="1">
      <alignment horizontal="center" vertical="center"/>
    </xf>
    <xf numFmtId="0" fontId="10" fillId="11" borderId="32" xfId="11" applyFont="1" applyFill="1" applyBorder="1" applyAlignment="1">
      <alignment horizontal="center" vertical="center"/>
    </xf>
    <xf numFmtId="0" fontId="7" fillId="0" borderId="5" xfId="11" applyBorder="1" applyAlignment="1" applyProtection="1">
      <alignment vertical="center"/>
      <protection locked="0"/>
    </xf>
    <xf numFmtId="0" fontId="9" fillId="13" borderId="5" xfId="11" applyFont="1" applyFill="1" applyBorder="1" applyAlignment="1">
      <alignment horizontal="center" vertical="center" wrapText="1"/>
    </xf>
    <xf numFmtId="0" fontId="7" fillId="0" borderId="37" xfId="11" applyBorder="1" applyAlignment="1">
      <alignment horizontal="center"/>
    </xf>
    <xf numFmtId="0" fontId="9" fillId="0" borderId="5" xfId="11" applyFont="1" applyBorder="1" applyAlignment="1">
      <alignment horizontal="center" vertical="center" wrapText="1"/>
    </xf>
    <xf numFmtId="1" fontId="12" fillId="0" borderId="5" xfId="11" applyNumberFormat="1" applyFont="1" applyBorder="1" applyAlignment="1">
      <alignment horizontal="center" vertical="center" wrapText="1"/>
    </xf>
    <xf numFmtId="0" fontId="13" fillId="11" borderId="37" xfId="11" applyFont="1" applyFill="1" applyBorder="1" applyAlignment="1">
      <alignment horizontal="center" wrapText="1"/>
    </xf>
    <xf numFmtId="1" fontId="14" fillId="0" borderId="5" xfId="11" applyNumberFormat="1" applyFont="1" applyBorder="1" applyAlignment="1">
      <alignment horizontal="center" vertical="center" wrapText="1"/>
    </xf>
    <xf numFmtId="0" fontId="15" fillId="12" borderId="38" xfId="11" applyFont="1" applyFill="1" applyBorder="1" applyAlignment="1">
      <alignment horizontal="center"/>
    </xf>
    <xf numFmtId="0" fontId="15" fillId="0" borderId="39" xfId="11" applyFont="1" applyBorder="1" applyAlignment="1">
      <alignment horizontal="center"/>
    </xf>
    <xf numFmtId="0" fontId="9" fillId="0" borderId="0" xfId="5"/>
    <xf numFmtId="0" fontId="17" fillId="0" borderId="44" xfId="13" applyFont="1" applyBorder="1" applyAlignment="1" applyProtection="1">
      <alignment horizontal="center" vertical="center"/>
      <protection locked="0"/>
    </xf>
    <xf numFmtId="0" fontId="17" fillId="0" borderId="0" xfId="13" applyFont="1" applyAlignment="1" applyProtection="1">
      <alignment horizontal="center" vertical="center"/>
      <protection locked="0"/>
    </xf>
    <xf numFmtId="0" fontId="19" fillId="15" borderId="47" xfId="13" applyFont="1" applyFill="1" applyBorder="1" applyAlignment="1" applyProtection="1">
      <alignment horizontal="center" vertical="center"/>
      <protection locked="0"/>
    </xf>
    <xf numFmtId="0" fontId="19" fillId="15" borderId="48" xfId="13" applyFont="1" applyFill="1" applyBorder="1" applyAlignment="1" applyProtection="1">
      <alignment horizontal="center" vertical="center"/>
      <protection locked="0"/>
    </xf>
    <xf numFmtId="49" fontId="19" fillId="17" borderId="49" xfId="5" applyNumberFormat="1" applyFont="1" applyFill="1" applyBorder="1" applyAlignment="1">
      <alignment horizontal="center" vertical="center" wrapText="1"/>
    </xf>
    <xf numFmtId="0" fontId="21" fillId="18" borderId="49" xfId="13" applyFont="1" applyFill="1" applyBorder="1" applyAlignment="1">
      <alignment horizontal="left" vertical="top" wrapText="1"/>
    </xf>
    <xf numFmtId="0" fontId="21" fillId="18" borderId="5" xfId="13" applyFont="1" applyFill="1" applyBorder="1" applyAlignment="1">
      <alignment horizontal="left" vertical="top" wrapText="1"/>
    </xf>
    <xf numFmtId="0" fontId="51" fillId="18" borderId="49" xfId="13" applyFill="1" applyBorder="1" applyAlignment="1">
      <alignment horizontal="left" vertical="top" wrapText="1"/>
    </xf>
    <xf numFmtId="0" fontId="51" fillId="18" borderId="5" xfId="13" applyFill="1" applyBorder="1" applyAlignment="1">
      <alignment horizontal="left" vertical="top" wrapText="1"/>
    </xf>
    <xf numFmtId="0" fontId="51" fillId="17" borderId="5" xfId="13" applyFill="1" applyBorder="1" applyAlignment="1">
      <alignment horizontal="left" vertical="top" wrapText="1"/>
    </xf>
    <xf numFmtId="0" fontId="19" fillId="15" borderId="52" xfId="13" applyFont="1" applyFill="1" applyBorder="1" applyAlignment="1" applyProtection="1">
      <alignment horizontal="center" vertical="center" wrapText="1"/>
      <protection locked="0"/>
    </xf>
    <xf numFmtId="0" fontId="19" fillId="15" borderId="50" xfId="13" applyFont="1" applyFill="1" applyBorder="1" applyAlignment="1" applyProtection="1">
      <alignment horizontal="center" vertical="center" wrapText="1"/>
      <protection locked="0"/>
    </xf>
    <xf numFmtId="0" fontId="19" fillId="15" borderId="53" xfId="13" applyFont="1" applyFill="1" applyBorder="1" applyAlignment="1" applyProtection="1">
      <alignment horizontal="center" vertical="center"/>
      <protection locked="0"/>
    </xf>
    <xf numFmtId="0" fontId="19" fillId="15" borderId="54" xfId="13" applyFont="1" applyFill="1" applyBorder="1" applyAlignment="1" applyProtection="1">
      <alignment horizontal="center" vertical="center"/>
      <protection locked="0"/>
    </xf>
    <xf numFmtId="0" fontId="51" fillId="19" borderId="0" xfId="13" applyFill="1" applyAlignment="1">
      <alignment horizontal="center" vertical="center"/>
    </xf>
    <xf numFmtId="0" fontId="21" fillId="18" borderId="0" xfId="13" applyFont="1" applyFill="1" applyAlignment="1">
      <alignment horizontal="left" vertical="top" wrapText="1"/>
    </xf>
    <xf numFmtId="0" fontId="51" fillId="18" borderId="0" xfId="13" applyFill="1" applyAlignment="1">
      <alignment horizontal="left" vertical="top" wrapText="1"/>
    </xf>
    <xf numFmtId="0" fontId="51" fillId="18" borderId="39" xfId="13" applyFill="1" applyBorder="1" applyAlignment="1">
      <alignment horizontal="left" vertical="top" wrapText="1"/>
    </xf>
    <xf numFmtId="0" fontId="19" fillId="17" borderId="49" xfId="13" applyFont="1" applyFill="1" applyBorder="1" applyAlignment="1">
      <alignment horizontal="left" vertical="top" wrapText="1"/>
    </xf>
    <xf numFmtId="0" fontId="23" fillId="18" borderId="5" xfId="13" applyFont="1" applyFill="1" applyBorder="1" applyAlignment="1">
      <alignment horizontal="left" vertical="top" wrapText="1"/>
    </xf>
    <xf numFmtId="0" fontId="0" fillId="18" borderId="5" xfId="13" applyFont="1" applyFill="1" applyBorder="1" applyAlignment="1">
      <alignment horizontal="left" vertical="top" wrapText="1"/>
    </xf>
    <xf numFmtId="0" fontId="24" fillId="18" borderId="5" xfId="1" applyFill="1" applyBorder="1" applyAlignment="1">
      <alignment horizontal="left" vertical="top" wrapText="1"/>
    </xf>
    <xf numFmtId="0" fontId="21" fillId="18" borderId="39" xfId="13" applyFont="1" applyFill="1" applyBorder="1" applyAlignment="1">
      <alignment horizontal="left" vertical="top" wrapText="1"/>
    </xf>
    <xf numFmtId="0" fontId="51" fillId="18" borderId="61" xfId="13" applyFill="1" applyBorder="1" applyAlignment="1">
      <alignment horizontal="left" vertical="top" wrapText="1"/>
    </xf>
    <xf numFmtId="0" fontId="51" fillId="18" borderId="43" xfId="13" applyFill="1" applyBorder="1" applyAlignment="1">
      <alignment horizontal="left" vertical="top" wrapText="1"/>
    </xf>
    <xf numFmtId="0" fontId="51" fillId="18" borderId="62" xfId="13" applyFill="1" applyBorder="1" applyAlignment="1">
      <alignment horizontal="left" vertical="top" wrapText="1"/>
    </xf>
    <xf numFmtId="0" fontId="12" fillId="15" borderId="5" xfId="0" applyFont="1" applyFill="1" applyBorder="1" applyAlignment="1">
      <alignment horizontal="center"/>
    </xf>
    <xf numFmtId="0" fontId="12" fillId="15" borderId="5" xfId="0" applyFont="1" applyFill="1" applyBorder="1" applyAlignment="1">
      <alignment horizontal="center" wrapText="1"/>
    </xf>
    <xf numFmtId="0" fontId="12" fillId="18" borderId="5" xfId="0" applyFont="1" applyFill="1" applyBorder="1"/>
    <xf numFmtId="0" fontId="27" fillId="18" borderId="5" xfId="5" applyFont="1" applyFill="1" applyBorder="1"/>
    <xf numFmtId="0" fontId="27" fillId="18" borderId="5" xfId="0" applyFont="1" applyFill="1" applyBorder="1"/>
    <xf numFmtId="0" fontId="27" fillId="0" borderId="5" xfId="0" applyFont="1" applyBorder="1" applyAlignment="1">
      <alignment wrapText="1"/>
    </xf>
    <xf numFmtId="0" fontId="27" fillId="0" borderId="5" xfId="0" applyFont="1" applyBorder="1"/>
    <xf numFmtId="0" fontId="27" fillId="0" borderId="5" xfId="5" applyFont="1" applyBorder="1" applyAlignment="1">
      <alignment horizontal="left" vertical="top" wrapText="1"/>
    </xf>
    <xf numFmtId="0" fontId="27" fillId="0" borderId="5" xfId="5" applyFont="1" applyBorder="1" applyAlignment="1">
      <alignment horizontal="left" vertical="top"/>
    </xf>
    <xf numFmtId="0" fontId="27" fillId="0" borderId="0" xfId="5" applyFont="1"/>
    <xf numFmtId="0" fontId="12" fillId="15" borderId="5" xfId="0" applyFont="1" applyFill="1" applyBorder="1" applyAlignment="1">
      <alignment horizontal="left"/>
    </xf>
    <xf numFmtId="0" fontId="12" fillId="15" borderId="5" xfId="0" applyFont="1" applyFill="1" applyBorder="1" applyAlignment="1">
      <alignment horizontal="left" wrapText="1"/>
    </xf>
    <xf numFmtId="0" fontId="28" fillId="18" borderId="5" xfId="0" applyFont="1" applyFill="1" applyBorder="1"/>
    <xf numFmtId="0" fontId="29" fillId="15" borderId="5" xfId="0" applyFont="1" applyFill="1" applyBorder="1" applyAlignment="1">
      <alignment horizontal="center"/>
    </xf>
    <xf numFmtId="0" fontId="30" fillId="18" borderId="5" xfId="5" applyFont="1" applyFill="1" applyBorder="1" applyAlignment="1">
      <alignment wrapText="1"/>
    </xf>
    <xf numFmtId="0" fontId="30" fillId="0" borderId="5" xfId="0" applyFont="1" applyBorder="1" applyAlignment="1">
      <alignment wrapText="1"/>
    </xf>
    <xf numFmtId="0" fontId="30" fillId="0" borderId="5" xfId="5" applyFont="1" applyBorder="1" applyAlignment="1">
      <alignment wrapText="1"/>
    </xf>
    <xf numFmtId="0" fontId="30" fillId="0" borderId="0" xfId="5" applyFont="1" applyAlignment="1">
      <alignment wrapText="1"/>
    </xf>
    <xf numFmtId="0" fontId="29" fillId="15" borderId="5" xfId="0" applyFont="1" applyFill="1" applyBorder="1" applyAlignment="1">
      <alignment horizontal="left" wrapText="1"/>
    </xf>
    <xf numFmtId="0" fontId="30" fillId="18" borderId="5" xfId="0" applyFont="1" applyFill="1" applyBorder="1" applyAlignment="1">
      <alignment wrapText="1"/>
    </xf>
    <xf numFmtId="0" fontId="15" fillId="0" borderId="0" xfId="5" applyFont="1"/>
    <xf numFmtId="0" fontId="28" fillId="0" borderId="5" xfId="0" applyFont="1" applyBorder="1"/>
    <xf numFmtId="0" fontId="31" fillId="0" borderId="5" xfId="0" applyFont="1" applyBorder="1"/>
    <xf numFmtId="0" fontId="31" fillId="0" borderId="5" xfId="0" applyFont="1" applyBorder="1" applyAlignment="1">
      <alignment wrapText="1"/>
    </xf>
    <xf numFmtId="0" fontId="27" fillId="0" borderId="5" xfId="5" applyFont="1" applyBorder="1"/>
    <xf numFmtId="0" fontId="30" fillId="0" borderId="5" xfId="0" applyFont="1" applyBorder="1"/>
    <xf numFmtId="0" fontId="9" fillId="0" borderId="5" xfId="0" applyFont="1" applyBorder="1"/>
    <xf numFmtId="0" fontId="9" fillId="0" borderId="5" xfId="0" applyFont="1" applyBorder="1" applyAlignment="1">
      <alignment wrapText="1"/>
    </xf>
    <xf numFmtId="0" fontId="30" fillId="0" borderId="0" xfId="5" applyFont="1"/>
    <xf numFmtId="0" fontId="29" fillId="15" borderId="5" xfId="0" applyFont="1" applyFill="1" applyBorder="1" applyAlignment="1">
      <alignment horizontal="left"/>
    </xf>
    <xf numFmtId="0" fontId="21" fillId="0" borderId="0" xfId="5" applyFont="1"/>
    <xf numFmtId="0" fontId="12" fillId="15" borderId="63" xfId="2" applyFont="1" applyFill="1" applyBorder="1" applyAlignment="1">
      <alignment horizontal="left" vertical="center"/>
    </xf>
    <xf numFmtId="0" fontId="12" fillId="15" borderId="64" xfId="2" applyFont="1" applyFill="1" applyBorder="1" applyAlignment="1">
      <alignment horizontal="left" vertical="center"/>
    </xf>
    <xf numFmtId="0" fontId="12" fillId="15" borderId="65" xfId="2" applyFont="1" applyFill="1" applyBorder="1" applyAlignment="1">
      <alignment horizontal="left" vertical="center"/>
    </xf>
    <xf numFmtId="0" fontId="27" fillId="15" borderId="66" xfId="5" applyFont="1" applyFill="1" applyBorder="1"/>
    <xf numFmtId="0" fontId="12" fillId="18" borderId="67" xfId="2" applyFont="1" applyFill="1" applyBorder="1" applyAlignment="1">
      <alignment horizontal="left" vertical="center"/>
    </xf>
    <xf numFmtId="0" fontId="27" fillId="0" borderId="67" xfId="2" applyFont="1" applyBorder="1" applyAlignment="1">
      <alignment vertical="top" wrapText="1"/>
    </xf>
    <xf numFmtId="0" fontId="27" fillId="0" borderId="5" xfId="2" applyFont="1" applyBorder="1" applyAlignment="1">
      <alignment vertical="top" wrapText="1"/>
    </xf>
    <xf numFmtId="0" fontId="27" fillId="0" borderId="5" xfId="2" applyFont="1" applyBorder="1" applyAlignment="1">
      <alignment vertical="top"/>
    </xf>
    <xf numFmtId="0" fontId="12" fillId="15" borderId="67" xfId="2" applyFont="1" applyFill="1" applyBorder="1" applyAlignment="1">
      <alignment horizontal="left" vertical="center" wrapText="1"/>
    </xf>
    <xf numFmtId="0" fontId="27" fillId="15" borderId="5" xfId="5" applyFont="1" applyFill="1" applyBorder="1" applyAlignment="1">
      <alignment vertical="center"/>
    </xf>
    <xf numFmtId="0" fontId="12" fillId="18" borderId="67" xfId="2" applyFont="1" applyFill="1" applyBorder="1"/>
    <xf numFmtId="0" fontId="12" fillId="15" borderId="64" xfId="2" applyFont="1" applyFill="1" applyBorder="1" applyAlignment="1">
      <alignment horizontal="center" vertical="center" wrapText="1"/>
    </xf>
    <xf numFmtId="0" fontId="29" fillId="15" borderId="68" xfId="2" applyFont="1" applyFill="1" applyBorder="1" applyAlignment="1">
      <alignment horizontal="center" vertical="center"/>
    </xf>
    <xf numFmtId="0" fontId="30" fillId="15" borderId="69" xfId="5" applyFont="1" applyFill="1" applyBorder="1" applyAlignment="1">
      <alignment wrapText="1"/>
    </xf>
    <xf numFmtId="0" fontId="30" fillId="18" borderId="70" xfId="5" applyFont="1" applyFill="1" applyBorder="1" applyAlignment="1">
      <alignment wrapText="1"/>
    </xf>
    <xf numFmtId="0" fontId="27" fillId="0" borderId="5" xfId="2" applyFont="1" applyBorder="1" applyAlignment="1">
      <alignment horizontal="center" vertical="top"/>
    </xf>
    <xf numFmtId="0" fontId="30" fillId="0" borderId="70" xfId="2" applyFont="1" applyBorder="1" applyAlignment="1">
      <alignment vertical="top" wrapText="1"/>
    </xf>
    <xf numFmtId="0" fontId="9" fillId="0" borderId="0" xfId="6"/>
    <xf numFmtId="0" fontId="27" fillId="0" borderId="5" xfId="2" applyFont="1" applyBorder="1" applyAlignment="1">
      <alignment horizontal="center" vertical="top" wrapText="1"/>
    </xf>
    <xf numFmtId="0" fontId="27" fillId="0" borderId="70" xfId="2" applyFont="1" applyBorder="1" applyAlignment="1">
      <alignment vertical="top" wrapText="1"/>
    </xf>
    <xf numFmtId="0" fontId="9" fillId="0" borderId="71" xfId="5" applyBorder="1"/>
    <xf numFmtId="0" fontId="30" fillId="0" borderId="70" xfId="5" applyFont="1" applyBorder="1" applyAlignment="1">
      <alignment vertical="top" wrapText="1"/>
    </xf>
    <xf numFmtId="0" fontId="27" fillId="0" borderId="5" xfId="5" applyFont="1" applyBorder="1" applyAlignment="1">
      <alignment horizontal="center" vertical="top"/>
    </xf>
    <xf numFmtId="0" fontId="27" fillId="0" borderId="70" xfId="5" applyFont="1" applyBorder="1" applyAlignment="1">
      <alignment horizontal="left" vertical="top" wrapText="1"/>
    </xf>
    <xf numFmtId="0" fontId="27" fillId="0" borderId="5" xfId="5" applyFont="1" applyBorder="1" applyAlignment="1">
      <alignment horizontal="center" vertical="top" wrapText="1"/>
    </xf>
    <xf numFmtId="0" fontId="27" fillId="0" borderId="70" xfId="2" applyFont="1" applyBorder="1" applyAlignment="1">
      <alignment vertical="top"/>
    </xf>
    <xf numFmtId="0" fontId="27" fillId="15" borderId="5" xfId="5" applyFont="1" applyFill="1" applyBorder="1"/>
    <xf numFmtId="0" fontId="30" fillId="15" borderId="70" xfId="5" applyFont="1" applyFill="1" applyBorder="1" applyAlignment="1">
      <alignment wrapText="1"/>
    </xf>
    <xf numFmtId="0" fontId="27" fillId="18" borderId="5" xfId="2" applyFont="1" applyFill="1" applyBorder="1"/>
    <xf numFmtId="0" fontId="12" fillId="18" borderId="67" xfId="2" applyFont="1" applyFill="1" applyBorder="1" applyAlignment="1">
      <alignment wrapText="1"/>
    </xf>
    <xf numFmtId="0" fontId="12" fillId="15" borderId="67" xfId="2" applyFont="1" applyFill="1" applyBorder="1"/>
    <xf numFmtId="0" fontId="27" fillId="15" borderId="5" xfId="5" applyFont="1" applyFill="1" applyBorder="1" applyAlignment="1">
      <alignment horizontal="left" vertical="center"/>
    </xf>
    <xf numFmtId="0" fontId="9" fillId="18" borderId="5" xfId="5" applyFill="1" applyBorder="1"/>
    <xf numFmtId="0" fontId="9" fillId="18" borderId="70" xfId="5" applyFill="1" applyBorder="1"/>
    <xf numFmtId="0" fontId="27" fillId="0" borderId="73" xfId="2" applyFont="1" applyBorder="1" applyAlignment="1">
      <alignment vertical="top" wrapText="1"/>
    </xf>
    <xf numFmtId="0" fontId="27" fillId="0" borderId="74" xfId="2" applyFont="1" applyBorder="1" applyAlignment="1">
      <alignment vertical="top" wrapText="1"/>
    </xf>
    <xf numFmtId="0" fontId="27" fillId="0" borderId="74" xfId="2" applyFont="1" applyBorder="1" applyAlignment="1">
      <alignment horizontal="center" vertical="top" wrapText="1"/>
    </xf>
    <xf numFmtId="0" fontId="27" fillId="0" borderId="75" xfId="2" applyFont="1" applyBorder="1" applyAlignment="1">
      <alignment vertical="top" wrapText="1"/>
    </xf>
    <xf numFmtId="0" fontId="7" fillId="0" borderId="0" xfId="11" applyAlignment="1">
      <alignment horizontal="left" vertical="top" wrapText="1"/>
    </xf>
    <xf numFmtId="0" fontId="9" fillId="0" borderId="0" xfId="11" applyFont="1"/>
    <xf numFmtId="0" fontId="7" fillId="0" borderId="0" xfId="11"/>
    <xf numFmtId="0" fontId="15" fillId="0" borderId="0" xfId="11" applyFont="1" applyAlignment="1">
      <alignment horizontal="center" vertical="center" wrapText="1"/>
    </xf>
    <xf numFmtId="0" fontId="8" fillId="0" borderId="0" xfId="11" applyFont="1" applyAlignment="1">
      <alignment horizontal="center" vertical="center" wrapText="1"/>
    </xf>
    <xf numFmtId="0" fontId="15" fillId="15" borderId="8" xfId="11" applyFont="1" applyFill="1" applyBorder="1" applyAlignment="1">
      <alignment horizontal="left" vertical="top" wrapText="1"/>
    </xf>
    <xf numFmtId="0" fontId="15" fillId="0" borderId="81" xfId="11" applyFont="1" applyBorder="1" applyAlignment="1">
      <alignment horizontal="left" vertical="top"/>
    </xf>
    <xf numFmtId="0" fontId="9" fillId="0" borderId="81" xfId="11" applyFont="1" applyBorder="1" applyAlignment="1">
      <alignment horizontal="left" vertical="top" wrapText="1"/>
    </xf>
    <xf numFmtId="0" fontId="9" fillId="0" borderId="83" xfId="11" applyFont="1" applyBorder="1" applyAlignment="1">
      <alignment horizontal="left" vertical="top" wrapText="1"/>
    </xf>
    <xf numFmtId="0" fontId="15" fillId="0" borderId="87" xfId="11" applyFont="1" applyBorder="1" applyAlignment="1">
      <alignment horizontal="left" vertical="top"/>
    </xf>
    <xf numFmtId="0" fontId="9" fillId="0" borderId="87" xfId="11" applyFont="1" applyBorder="1" applyAlignment="1">
      <alignment horizontal="left" vertical="top" wrapText="1"/>
    </xf>
    <xf numFmtId="0" fontId="15" fillId="0" borderId="0" xfId="11" applyFont="1" applyAlignment="1">
      <alignment horizontal="left" vertical="top" wrapText="1"/>
    </xf>
    <xf numFmtId="0" fontId="15" fillId="0" borderId="81" xfId="11" applyFont="1" applyBorder="1" applyAlignment="1">
      <alignment horizontal="left" vertical="top" wrapText="1"/>
    </xf>
    <xf numFmtId="0" fontId="15" fillId="15" borderId="8" xfId="11" applyFont="1" applyFill="1" applyBorder="1" applyAlignment="1">
      <alignment vertical="top" wrapText="1"/>
    </xf>
    <xf numFmtId="0" fontId="15" fillId="0" borderId="0" xfId="11" applyFont="1" applyAlignment="1">
      <alignment horizontal="left" vertical="center" wrapText="1"/>
    </xf>
    <xf numFmtId="0" fontId="7" fillId="0" borderId="0" xfId="11" applyAlignment="1">
      <alignment vertical="top" wrapText="1"/>
    </xf>
    <xf numFmtId="0" fontId="9" fillId="0" borderId="81" xfId="11" applyFont="1" applyBorder="1" applyAlignment="1">
      <alignment horizontal="left" vertical="top"/>
    </xf>
    <xf numFmtId="0" fontId="15" fillId="0" borderId="87" xfId="11" applyFont="1" applyBorder="1" applyAlignment="1">
      <alignment horizontal="left" vertical="top" wrapText="1"/>
    </xf>
    <xf numFmtId="0" fontId="9" fillId="0" borderId="0" xfId="11" applyFont="1" applyAlignment="1">
      <alignment horizontal="left" vertical="top" wrapText="1"/>
    </xf>
    <xf numFmtId="0" fontId="32" fillId="0" borderId="0" xfId="11" applyFont="1" applyAlignment="1">
      <alignment horizontal="left" vertical="top" wrapText="1"/>
    </xf>
    <xf numFmtId="0" fontId="15" fillId="0" borderId="0" xfId="11" applyFont="1"/>
    <xf numFmtId="0" fontId="15" fillId="15" borderId="89" xfId="11" applyFont="1" applyFill="1" applyBorder="1"/>
    <xf numFmtId="0" fontId="7" fillId="15" borderId="90" xfId="11" applyFill="1" applyBorder="1"/>
    <xf numFmtId="0" fontId="7" fillId="0" borderId="11" xfId="11" applyBorder="1"/>
    <xf numFmtId="0" fontId="15" fillId="15" borderId="92" xfId="11" applyFont="1" applyFill="1" applyBorder="1" applyAlignment="1">
      <alignment horizontal="left" vertical="top" wrapText="1"/>
    </xf>
    <xf numFmtId="0" fontId="9" fillId="0" borderId="93" xfId="11" applyFont="1" applyBorder="1" applyAlignment="1">
      <alignment horizontal="left" vertical="top" wrapText="1"/>
    </xf>
    <xf numFmtId="0" fontId="15" fillId="15" borderId="8" xfId="11" applyFont="1" applyFill="1" applyBorder="1" applyAlignment="1">
      <alignment horizontal="justify" vertical="top" wrapText="1"/>
    </xf>
    <xf numFmtId="0" fontId="12" fillId="0" borderId="0" xfId="11" applyFont="1" applyAlignment="1">
      <alignment horizontal="left" vertical="top" wrapText="1"/>
    </xf>
    <xf numFmtId="0" fontId="27" fillId="0" borderId="0" xfId="11" applyFont="1" applyAlignment="1">
      <alignment horizontal="left" vertical="top" wrapText="1"/>
    </xf>
    <xf numFmtId="0" fontId="15" fillId="15" borderId="89" xfId="11" applyFont="1" applyFill="1" applyBorder="1" applyAlignment="1">
      <alignment horizontal="left" vertical="center"/>
    </xf>
    <xf numFmtId="0" fontId="15" fillId="15" borderId="90" xfId="11" applyFont="1" applyFill="1" applyBorder="1" applyAlignment="1">
      <alignment horizontal="left" vertical="center"/>
    </xf>
    <xf numFmtId="0" fontId="15" fillId="0" borderId="0" xfId="11" applyFont="1" applyAlignment="1">
      <alignment horizontal="center" vertical="top"/>
    </xf>
    <xf numFmtId="0" fontId="9" fillId="0" borderId="0" xfId="11" applyFont="1" applyAlignment="1">
      <alignment horizontal="center" vertical="top"/>
    </xf>
    <xf numFmtId="0" fontId="7" fillId="15" borderId="91" xfId="11" applyFill="1" applyBorder="1"/>
    <xf numFmtId="0" fontId="9" fillId="0" borderId="95" xfId="11" applyFont="1" applyBorder="1" applyAlignment="1">
      <alignment horizontal="left" vertical="top" wrapText="1"/>
    </xf>
    <xf numFmtId="0" fontId="15" fillId="15" borderId="91" xfId="11" applyFont="1" applyFill="1" applyBorder="1" applyAlignment="1">
      <alignment horizontal="left" vertical="center"/>
    </xf>
    <xf numFmtId="0" fontId="7" fillId="0" borderId="1" xfId="11" applyBorder="1"/>
    <xf numFmtId="0" fontId="7" fillId="0" borderId="97" xfId="11" applyBorder="1"/>
    <xf numFmtId="0" fontId="7" fillId="0" borderId="2" xfId="11" applyBorder="1"/>
    <xf numFmtId="0" fontId="7" fillId="0" borderId="0" xfId="11" applyAlignment="1">
      <alignment horizontal="left" vertical="top"/>
    </xf>
    <xf numFmtId="0" fontId="34" fillId="20" borderId="5" xfId="0" applyFont="1" applyFill="1" applyBorder="1" applyAlignment="1" applyProtection="1">
      <alignment horizontal="center" vertical="center" wrapText="1"/>
      <protection locked="0"/>
    </xf>
    <xf numFmtId="0" fontId="9" fillId="0" borderId="5" xfId="0" applyFont="1" applyBorder="1" applyAlignment="1" applyProtection="1">
      <alignment horizontal="left" vertical="top" wrapText="1"/>
      <protection locked="0"/>
    </xf>
    <xf numFmtId="0" fontId="9" fillId="0" borderId="5" xfId="0" applyFont="1" applyBorder="1" applyAlignment="1">
      <alignment horizontal="left" vertical="center" wrapText="1"/>
    </xf>
    <xf numFmtId="0" fontId="9" fillId="0" borderId="5" xfId="0" applyFont="1" applyBorder="1" applyAlignment="1">
      <alignment horizontal="left" vertical="top" wrapText="1"/>
    </xf>
    <xf numFmtId="0" fontId="9" fillId="0" borderId="5" xfId="0" applyFont="1" applyBorder="1" applyAlignment="1">
      <alignment horizontal="left" vertical="top"/>
    </xf>
    <xf numFmtId="0" fontId="9" fillId="19" borderId="5" xfId="0" applyFont="1" applyFill="1" applyBorder="1" applyAlignment="1" applyProtection="1">
      <alignment horizontal="left" vertical="top" wrapText="1"/>
      <protection locked="0"/>
    </xf>
    <xf numFmtId="0" fontId="9" fillId="19" borderId="5" xfId="0" applyFont="1" applyFill="1" applyBorder="1" applyAlignment="1">
      <alignment horizontal="left" vertical="top" wrapText="1"/>
    </xf>
    <xf numFmtId="0" fontId="9" fillId="0" borderId="100" xfId="0" applyFont="1" applyBorder="1" applyAlignment="1">
      <alignment horizontal="left" vertical="top"/>
    </xf>
    <xf numFmtId="0" fontId="9" fillId="0" borderId="0" xfId="0" applyFont="1" applyAlignment="1">
      <alignment horizontal="left" vertical="top"/>
    </xf>
    <xf numFmtId="0" fontId="8" fillId="0" borderId="101" xfId="0" applyFont="1" applyBorder="1" applyAlignment="1">
      <alignment vertical="center" wrapText="1"/>
    </xf>
    <xf numFmtId="0" fontId="8" fillId="0" borderId="0" xfId="5" applyFont="1" applyAlignment="1">
      <alignment vertical="center" wrapText="1"/>
    </xf>
    <xf numFmtId="0" fontId="9" fillId="0" borderId="0" xfId="5" applyAlignment="1">
      <alignment vertical="center" wrapText="1"/>
    </xf>
    <xf numFmtId="0" fontId="33" fillId="0" borderId="102" xfId="5" applyFont="1" applyBorder="1" applyAlignment="1">
      <alignment vertical="center"/>
    </xf>
    <xf numFmtId="0" fontId="33" fillId="0" borderId="0" xfId="5" applyFont="1" applyAlignment="1">
      <alignment vertical="center"/>
    </xf>
    <xf numFmtId="0" fontId="15" fillId="18" borderId="66" xfId="5" applyFont="1" applyFill="1" applyBorder="1" applyAlignment="1">
      <alignment horizontal="center" vertical="center" wrapText="1"/>
    </xf>
    <xf numFmtId="0" fontId="9" fillId="19" borderId="5" xfId="0" applyFont="1" applyFill="1" applyBorder="1" applyAlignment="1">
      <alignment horizontal="left" vertical="top"/>
    </xf>
    <xf numFmtId="0" fontId="21" fillId="0" borderId="0" xfId="0" applyFont="1" applyAlignment="1">
      <alignment horizontal="left" vertical="top"/>
    </xf>
    <xf numFmtId="176" fontId="21" fillId="0" borderId="0" xfId="0" applyNumberFormat="1" applyFont="1" applyAlignment="1">
      <alignment horizontal="left" vertical="top"/>
    </xf>
    <xf numFmtId="0" fontId="9" fillId="19" borderId="0" xfId="5" applyFill="1"/>
    <xf numFmtId="0" fontId="33" fillId="0" borderId="0" xfId="5" applyFont="1" applyAlignment="1">
      <alignment horizontal="left" vertical="center"/>
    </xf>
    <xf numFmtId="0" fontId="9" fillId="0" borderId="0" xfId="5" applyAlignment="1">
      <alignment horizontal="center"/>
    </xf>
    <xf numFmtId="0" fontId="15" fillId="0" borderId="0" xfId="5" applyFont="1" applyAlignment="1">
      <alignment horizontal="center"/>
    </xf>
    <xf numFmtId="0" fontId="21" fillId="19" borderId="5" xfId="0" applyFont="1" applyFill="1" applyBorder="1" applyAlignment="1">
      <alignment vertical="center" wrapText="1"/>
    </xf>
    <xf numFmtId="0" fontId="9" fillId="19" borderId="5" xfId="5" applyFill="1" applyBorder="1" applyAlignment="1">
      <alignment horizontal="center" vertical="center"/>
    </xf>
    <xf numFmtId="0" fontId="9" fillId="19" borderId="5" xfId="5" applyFill="1" applyBorder="1" applyAlignment="1">
      <alignment vertical="center" wrapText="1"/>
    </xf>
    <xf numFmtId="0" fontId="35" fillId="19" borderId="5" xfId="0" applyFont="1" applyFill="1" applyBorder="1" applyAlignment="1" applyProtection="1">
      <alignment vertical="center"/>
      <protection locked="0"/>
    </xf>
    <xf numFmtId="0" fontId="36" fillId="19" borderId="5" xfId="0" applyFont="1" applyFill="1" applyBorder="1" applyAlignment="1">
      <alignment vertical="center" wrapText="1"/>
    </xf>
    <xf numFmtId="0" fontId="9" fillId="19" borderId="5" xfId="5" applyFill="1" applyBorder="1" applyAlignment="1">
      <alignment horizontal="center" vertical="center" wrapText="1"/>
    </xf>
    <xf numFmtId="0" fontId="9" fillId="19" borderId="5" xfId="5" applyFill="1" applyBorder="1"/>
    <xf numFmtId="0" fontId="9" fillId="19" borderId="5" xfId="5" applyFill="1" applyBorder="1" applyAlignment="1">
      <alignment horizontal="left" vertical="center" wrapText="1"/>
    </xf>
    <xf numFmtId="0" fontId="21" fillId="19" borderId="5" xfId="0" applyFont="1" applyFill="1" applyBorder="1" applyAlignment="1">
      <alignment horizontal="left" vertical="center" wrapText="1"/>
    </xf>
    <xf numFmtId="0" fontId="9" fillId="19" borderId="5" xfId="5" applyFill="1" applyBorder="1" applyAlignment="1">
      <alignment horizontal="left" vertical="top" wrapText="1"/>
    </xf>
    <xf numFmtId="0" fontId="34" fillId="22" borderId="105" xfId="0" applyFont="1" applyFill="1" applyBorder="1" applyAlignment="1">
      <alignment horizontal="center" vertical="center" wrapText="1"/>
    </xf>
    <xf numFmtId="0" fontId="34" fillId="22" borderId="62" xfId="0" applyFont="1" applyFill="1" applyBorder="1" applyAlignment="1">
      <alignment horizontal="center" vertical="center" wrapText="1"/>
    </xf>
    <xf numFmtId="0" fontId="5" fillId="19" borderId="5" xfId="5" applyFont="1" applyFill="1" applyBorder="1" applyAlignment="1">
      <alignment horizontal="center" vertical="center" wrapText="1"/>
    </xf>
    <xf numFmtId="0" fontId="5" fillId="19" borderId="5" xfId="5" applyFont="1" applyFill="1" applyBorder="1" applyAlignment="1">
      <alignment horizontal="center" vertical="top" wrapText="1"/>
    </xf>
    <xf numFmtId="0" fontId="9" fillId="19" borderId="5" xfId="5" applyFill="1" applyBorder="1" applyAlignment="1">
      <alignment horizontal="center"/>
    </xf>
    <xf numFmtId="0" fontId="34" fillId="22" borderId="61" xfId="0" applyFont="1" applyFill="1" applyBorder="1" applyAlignment="1">
      <alignment horizontal="center" vertical="center" wrapText="1"/>
    </xf>
    <xf numFmtId="0" fontId="9" fillId="19" borderId="5" xfId="5" applyFill="1" applyBorder="1" applyAlignment="1">
      <alignment horizontal="center" vertical="top" wrapText="1"/>
    </xf>
    <xf numFmtId="0" fontId="15" fillId="19" borderId="66" xfId="5" applyFont="1" applyFill="1" applyBorder="1" applyAlignment="1">
      <alignment horizontal="center" vertical="top" wrapText="1"/>
    </xf>
    <xf numFmtId="0" fontId="21" fillId="19" borderId="5" xfId="5" applyFont="1" applyFill="1" applyBorder="1" applyAlignment="1">
      <alignment horizontal="left" vertical="center" wrapText="1"/>
    </xf>
    <xf numFmtId="0" fontId="0" fillId="19" borderId="5" xfId="0" applyFill="1" applyBorder="1" applyAlignment="1">
      <alignment horizontal="left" vertical="center" wrapText="1"/>
    </xf>
    <xf numFmtId="0" fontId="0" fillId="0" borderId="5" xfId="0" applyBorder="1" applyAlignment="1">
      <alignment horizontal="left" vertical="center" wrapText="1"/>
    </xf>
    <xf numFmtId="0" fontId="21" fillId="19" borderId="5" xfId="5" applyFont="1" applyFill="1" applyBorder="1" applyAlignment="1">
      <alignment horizontal="left" vertical="top" wrapText="1"/>
    </xf>
    <xf numFmtId="0" fontId="37" fillId="19" borderId="5" xfId="0" applyFont="1" applyFill="1" applyBorder="1" applyAlignment="1">
      <alignment horizontal="left" vertical="center" wrapText="1"/>
    </xf>
    <xf numFmtId="0" fontId="5" fillId="19" borderId="5" xfId="5" applyFont="1" applyFill="1" applyBorder="1" applyAlignment="1">
      <alignment horizontal="left" vertical="center" wrapText="1"/>
    </xf>
    <xf numFmtId="0" fontId="9" fillId="19" borderId="5" xfId="5" applyFill="1" applyBorder="1" applyAlignment="1">
      <alignment vertical="center"/>
    </xf>
    <xf numFmtId="0" fontId="9" fillId="19" borderId="66" xfId="5" applyFill="1" applyBorder="1" applyAlignment="1">
      <alignment vertical="center"/>
    </xf>
    <xf numFmtId="0" fontId="9" fillId="19" borderId="66" xfId="5" applyFill="1" applyBorder="1" applyAlignment="1">
      <alignment vertical="top"/>
    </xf>
    <xf numFmtId="0" fontId="3" fillId="23" borderId="5" xfId="0" applyFont="1" applyFill="1" applyBorder="1" applyAlignment="1">
      <alignment vertical="center" wrapText="1"/>
    </xf>
    <xf numFmtId="0" fontId="4" fillId="0" borderId="0" xfId="0" applyFont="1" applyAlignment="1">
      <alignment wrapText="1"/>
    </xf>
    <xf numFmtId="0" fontId="21" fillId="0" borderId="0" xfId="0" applyFont="1" applyAlignment="1">
      <alignment vertical="top"/>
    </xf>
    <xf numFmtId="0" fontId="3" fillId="23" borderId="5" xfId="0" applyFont="1" applyFill="1" applyBorder="1" applyAlignment="1">
      <alignment horizontal="center" vertical="center" wrapText="1"/>
    </xf>
    <xf numFmtId="0" fontId="4" fillId="0" borderId="0" xfId="0" applyFont="1" applyAlignment="1">
      <alignment horizontal="center" wrapText="1"/>
    </xf>
    <xf numFmtId="0" fontId="38" fillId="3" borderId="7" xfId="2" applyFont="1" applyFill="1" applyBorder="1" applyAlignment="1">
      <alignment horizontal="left" vertical="center" wrapText="1"/>
    </xf>
    <xf numFmtId="0" fontId="38" fillId="0" borderId="86" xfId="2" applyFont="1" applyBorder="1" applyAlignment="1">
      <alignment horizontal="left" vertical="center" wrapText="1"/>
    </xf>
    <xf numFmtId="0" fontId="6" fillId="0" borderId="0" xfId="2" applyFont="1" applyAlignment="1">
      <alignment horizontal="left" vertical="center" wrapText="1"/>
    </xf>
    <xf numFmtId="0" fontId="38" fillId="3" borderId="8" xfId="2" applyFont="1" applyFill="1" applyBorder="1" applyAlignment="1">
      <alignment horizontal="left" vertical="center" wrapText="1"/>
    </xf>
    <xf numFmtId="0" fontId="38" fillId="0" borderId="87" xfId="2" applyFont="1" applyBorder="1" applyAlignment="1">
      <alignment horizontal="left" vertical="center" wrapText="1"/>
    </xf>
    <xf numFmtId="0" fontId="38" fillId="3" borderId="8" xfId="2" applyFont="1" applyFill="1" applyBorder="1" applyAlignment="1">
      <alignment wrapText="1"/>
    </xf>
    <xf numFmtId="0" fontId="38" fillId="0" borderId="87" xfId="2" applyFont="1" applyBorder="1" applyAlignment="1">
      <alignment horizontal="left" vertical="center"/>
    </xf>
    <xf numFmtId="0" fontId="6" fillId="0" borderId="0" xfId="2" applyFont="1" applyAlignment="1">
      <alignment horizontal="left" vertical="center"/>
    </xf>
    <xf numFmtId="0" fontId="38" fillId="3" borderId="9" xfId="2" applyFont="1" applyFill="1" applyBorder="1" applyAlignment="1">
      <alignment horizontal="left" vertical="center" wrapText="1"/>
    </xf>
    <xf numFmtId="0" fontId="38" fillId="0" borderId="109" xfId="2" applyFont="1" applyBorder="1" applyAlignment="1">
      <alignment horizontal="left" vertical="center" wrapText="1"/>
    </xf>
    <xf numFmtId="0" fontId="21" fillId="0" borderId="0" xfId="0" applyFont="1"/>
    <xf numFmtId="0" fontId="18" fillId="0" borderId="0" xfId="0" applyFont="1"/>
    <xf numFmtId="0" fontId="37" fillId="0" borderId="0" xfId="0" applyFont="1" applyAlignment="1">
      <alignment vertical="top"/>
    </xf>
    <xf numFmtId="0" fontId="40" fillId="14" borderId="101" xfId="3" applyFont="1" applyFill="1" applyBorder="1" applyAlignment="1">
      <alignment horizontal="center" vertical="center" wrapText="1"/>
    </xf>
    <xf numFmtId="0" fontId="40" fillId="14" borderId="66" xfId="3" applyFont="1" applyFill="1" applyBorder="1" applyAlignment="1">
      <alignment horizontal="center" vertical="center" wrapText="1"/>
    </xf>
    <xf numFmtId="0" fontId="37" fillId="0" borderId="49" xfId="0" applyFont="1" applyBorder="1" applyAlignment="1">
      <alignment vertical="top"/>
    </xf>
    <xf numFmtId="14" fontId="41" fillId="19" borderId="6" xfId="0" applyNumberFormat="1" applyFont="1" applyFill="1" applyBorder="1" applyAlignment="1">
      <alignment horizontal="center" vertical="top"/>
    </xf>
    <xf numFmtId="0" fontId="41" fillId="19" borderId="5" xfId="0" applyFont="1" applyFill="1" applyBorder="1" applyAlignment="1">
      <alignment vertical="top"/>
    </xf>
    <xf numFmtId="14" fontId="41" fillId="19" borderId="6" xfId="0" applyNumberFormat="1" applyFont="1" applyFill="1" applyBorder="1" applyAlignment="1">
      <alignment horizontal="center" vertical="top" wrapText="1"/>
    </xf>
    <xf numFmtId="0" fontId="37" fillId="0" borderId="105" xfId="0" applyFont="1" applyBorder="1" applyAlignment="1">
      <alignment vertical="top"/>
    </xf>
    <xf numFmtId="14" fontId="41" fillId="19" borderId="110" xfId="0" applyNumberFormat="1" applyFont="1" applyFill="1" applyBorder="1" applyAlignment="1">
      <alignment horizontal="center" vertical="top"/>
    </xf>
    <xf numFmtId="0" fontId="41" fillId="19" borderId="61" xfId="0" applyFont="1" applyFill="1" applyBorder="1" applyAlignment="1">
      <alignment vertical="top"/>
    </xf>
    <xf numFmtId="14" fontId="37" fillId="0" borderId="0" xfId="0" applyNumberFormat="1" applyFont="1" applyAlignment="1">
      <alignment vertical="top"/>
    </xf>
    <xf numFmtId="0" fontId="37" fillId="0" borderId="0" xfId="0" applyFont="1" applyFill="1" applyBorder="1" applyAlignment="1">
      <alignment vertical="top"/>
    </xf>
    <xf numFmtId="14" fontId="37" fillId="0" borderId="0" xfId="0" applyNumberFormat="1" applyFont="1" applyFill="1" applyBorder="1" applyAlignment="1">
      <alignment vertical="top"/>
    </xf>
    <xf numFmtId="0" fontId="40" fillId="0" borderId="0" xfId="3" applyFont="1" applyFill="1" applyBorder="1" applyAlignment="1">
      <alignment horizontal="center" vertical="center" wrapText="1"/>
    </xf>
    <xf numFmtId="14" fontId="37" fillId="0" borderId="0" xfId="0" applyNumberFormat="1" applyFont="1" applyFill="1" applyBorder="1" applyAlignment="1">
      <alignment horizontal="center" vertical="top"/>
    </xf>
    <xf numFmtId="49" fontId="37" fillId="0" borderId="0" xfId="0" applyNumberFormat="1" applyFont="1" applyFill="1" applyBorder="1" applyAlignment="1">
      <alignment horizontal="center" vertical="top"/>
    </xf>
    <xf numFmtId="0" fontId="37" fillId="0" borderId="0" xfId="0" applyFont="1" applyFill="1" applyBorder="1" applyAlignment="1">
      <alignment horizontal="left" vertical="top" wrapText="1"/>
    </xf>
    <xf numFmtId="2" fontId="41" fillId="0" borderId="0" xfId="0" applyNumberFormat="1" applyFont="1" applyAlignment="1">
      <alignment vertical="top"/>
    </xf>
    <xf numFmtId="49" fontId="41" fillId="19" borderId="5" xfId="0" applyNumberFormat="1" applyFont="1" applyFill="1" applyBorder="1" applyAlignment="1">
      <alignment horizontal="center" vertical="top" wrapText="1"/>
    </xf>
    <xf numFmtId="2" fontId="41" fillId="0" borderId="43" xfId="0" applyNumberFormat="1" applyFont="1" applyBorder="1" applyAlignment="1">
      <alignment vertical="top"/>
    </xf>
    <xf numFmtId="49" fontId="41" fillId="19" borderId="61" xfId="0" applyNumberFormat="1" applyFont="1" applyFill="1" applyBorder="1" applyAlignment="1">
      <alignment vertical="top"/>
    </xf>
    <xf numFmtId="2" fontId="37" fillId="0" borderId="0" xfId="0" applyNumberFormat="1" applyFont="1" applyAlignment="1">
      <alignment vertical="top"/>
    </xf>
    <xf numFmtId="49" fontId="37" fillId="0" borderId="0" xfId="0" applyNumberFormat="1" applyFont="1" applyAlignment="1">
      <alignment vertical="top"/>
    </xf>
    <xf numFmtId="2" fontId="37" fillId="0" borderId="0" xfId="0" applyNumberFormat="1" applyFont="1" applyFill="1" applyBorder="1" applyAlignment="1">
      <alignment vertical="top"/>
    </xf>
    <xf numFmtId="49" fontId="37" fillId="0" borderId="0" xfId="0" applyNumberFormat="1" applyFont="1" applyFill="1" applyBorder="1" applyAlignment="1">
      <alignment vertical="top"/>
    </xf>
    <xf numFmtId="0" fontId="34" fillId="0" borderId="0" xfId="0" applyFont="1" applyFill="1" applyBorder="1" applyAlignment="1">
      <alignment horizontal="center" vertical="top" wrapText="1"/>
    </xf>
    <xf numFmtId="14" fontId="34" fillId="0" borderId="0" xfId="0" applyNumberFormat="1" applyFont="1" applyFill="1" applyBorder="1" applyAlignment="1">
      <alignment horizontal="center"/>
    </xf>
    <xf numFmtId="14" fontId="37" fillId="0" borderId="0" xfId="0" applyNumberFormat="1" applyFont="1" applyFill="1" applyBorder="1" applyAlignment="1">
      <alignment horizontal="left" vertical="center" wrapText="1"/>
    </xf>
    <xf numFmtId="0" fontId="40" fillId="14" borderId="111" xfId="3" applyFont="1" applyFill="1" applyBorder="1" applyAlignment="1">
      <alignment horizontal="center" vertical="center" wrapText="1"/>
    </xf>
    <xf numFmtId="14" fontId="41" fillId="19" borderId="39" xfId="0" applyNumberFormat="1" applyFont="1" applyFill="1" applyBorder="1" applyAlignment="1">
      <alignment vertical="top"/>
    </xf>
    <xf numFmtId="14" fontId="41" fillId="19" borderId="62" xfId="0" applyNumberFormat="1" applyFont="1" applyFill="1" applyBorder="1" applyAlignment="1">
      <alignment vertical="top"/>
    </xf>
    <xf numFmtId="0" fontId="37" fillId="0" borderId="0" xfId="0" applyFont="1" applyFill="1" applyBorder="1" applyAlignment="1">
      <alignment horizontal="left" vertical="center" wrapText="1"/>
    </xf>
    <xf numFmtId="14" fontId="41" fillId="0" borderId="0" xfId="0" applyNumberFormat="1" applyFont="1" applyFill="1" applyBorder="1" applyAlignment="1">
      <alignment horizontal="center" vertical="top"/>
    </xf>
    <xf numFmtId="0" fontId="41" fillId="0" borderId="0" xfId="0" applyFont="1" applyFill="1" applyBorder="1" applyAlignment="1">
      <alignment vertical="top"/>
    </xf>
    <xf numFmtId="0" fontId="41" fillId="0" borderId="0" xfId="0" applyFont="1" applyFill="1" applyBorder="1" applyAlignment="1">
      <alignment vertical="top" wrapText="1"/>
    </xf>
    <xf numFmtId="14" fontId="41" fillId="0" borderId="0" xfId="0" applyNumberFormat="1" applyFont="1" applyFill="1" applyBorder="1" applyAlignment="1">
      <alignment horizontal="center" vertical="top" wrapText="1"/>
    </xf>
    <xf numFmtId="49" fontId="21" fillId="0" borderId="0" xfId="0" applyNumberFormat="1" applyFont="1" applyFill="1" applyBorder="1" applyAlignment="1">
      <alignment horizontal="center" vertical="top"/>
    </xf>
    <xf numFmtId="2" fontId="41" fillId="0" borderId="0" xfId="0" applyNumberFormat="1" applyFont="1" applyFill="1" applyBorder="1" applyAlignment="1">
      <alignment vertical="top"/>
    </xf>
    <xf numFmtId="49" fontId="41" fillId="0" borderId="0" xfId="0" applyNumberFormat="1" applyFont="1" applyFill="1" applyBorder="1" applyAlignment="1">
      <alignment horizontal="center" vertical="top" wrapText="1"/>
    </xf>
    <xf numFmtId="14" fontId="41" fillId="0" borderId="0" xfId="0" applyNumberFormat="1" applyFont="1" applyFill="1" applyBorder="1" applyAlignment="1">
      <alignment vertical="top"/>
    </xf>
    <xf numFmtId="49" fontId="41" fillId="0" borderId="0" xfId="0" applyNumberFormat="1" applyFont="1" applyFill="1" applyBorder="1" applyAlignment="1">
      <alignment vertical="top"/>
    </xf>
    <xf numFmtId="0" fontId="38" fillId="0" borderId="0" xfId="0" applyFont="1"/>
    <xf numFmtId="0" fontId="0" fillId="0" borderId="0" xfId="0" applyAlignment="1">
      <alignment wrapText="1"/>
    </xf>
    <xf numFmtId="0" fontId="3" fillId="0" borderId="5" xfId="0" applyFont="1" applyBorder="1" applyAlignment="1">
      <alignment horizontal="center" vertical="center"/>
    </xf>
    <xf numFmtId="0" fontId="0" fillId="0" borderId="5" xfId="0" applyBorder="1" applyAlignment="1">
      <alignment horizontal="center" vertical="center"/>
    </xf>
    <xf numFmtId="0" fontId="0" fillId="0" borderId="100" xfId="0" applyBorder="1" applyAlignment="1">
      <alignment vertical="center" wrapText="1"/>
    </xf>
    <xf numFmtId="0" fontId="0" fillId="0" borderId="5" xfId="0" applyBorder="1" applyAlignment="1">
      <alignment horizontal="left" vertical="center"/>
    </xf>
    <xf numFmtId="0" fontId="42" fillId="0" borderId="5" xfId="0" applyFont="1" applyBorder="1" applyAlignment="1">
      <alignment horizontal="left" vertical="center"/>
    </xf>
    <xf numFmtId="0" fontId="42" fillId="0" borderId="5" xfId="0" applyFont="1" applyBorder="1" applyAlignment="1">
      <alignment horizontal="left" vertical="center" wrapText="1"/>
    </xf>
    <xf numFmtId="0" fontId="42" fillId="0" borderId="66" xfId="0" applyFont="1" applyBorder="1" applyAlignment="1">
      <alignment vertical="center" wrapText="1"/>
    </xf>
    <xf numFmtId="0" fontId="0" fillId="0" borderId="0" xfId="0" applyAlignment="1">
      <alignment horizontal="left" vertical="center"/>
    </xf>
    <xf numFmtId="0" fontId="3" fillId="0" borderId="5" xfId="0" applyFont="1" applyBorder="1" applyAlignment="1">
      <alignment horizontal="center" vertical="center" wrapText="1"/>
    </xf>
    <xf numFmtId="0" fontId="42" fillId="0" borderId="5" xfId="0" applyFont="1" applyBorder="1" applyAlignment="1">
      <alignment wrapText="1"/>
    </xf>
    <xf numFmtId="0" fontId="42" fillId="21" borderId="5" xfId="0" applyFont="1" applyFill="1" applyBorder="1" applyAlignment="1">
      <alignment horizontal="left" vertical="center" wrapText="1"/>
    </xf>
    <xf numFmtId="0" fontId="42" fillId="25" borderId="5" xfId="0" applyFont="1" applyFill="1" applyBorder="1" applyAlignment="1">
      <alignment horizontal="left" vertical="center" wrapText="1"/>
    </xf>
    <xf numFmtId="0" fontId="42" fillId="0" borderId="5" xfId="0" applyFont="1" applyFill="1" applyBorder="1" applyAlignment="1">
      <alignment horizontal="left" vertical="center" wrapText="1"/>
    </xf>
    <xf numFmtId="0" fontId="0" fillId="0" borderId="0" xfId="0" applyAlignment="1">
      <alignment horizontal="left" vertical="center" wrapText="1"/>
    </xf>
    <xf numFmtId="0" fontId="21" fillId="0" borderId="0" xfId="0" applyFont="1" applyAlignment="1">
      <alignment vertical="center"/>
    </xf>
    <xf numFmtId="0" fontId="15" fillId="0" borderId="0" xfId="0" applyFont="1"/>
    <xf numFmtId="0" fontId="21" fillId="0" borderId="0" xfId="0" applyFont="1" applyAlignment="1">
      <alignment horizontal="left"/>
    </xf>
    <xf numFmtId="0" fontId="21" fillId="0" borderId="0" xfId="0" applyFont="1" applyProtection="1">
      <protection locked="0"/>
    </xf>
    <xf numFmtId="0" fontId="15" fillId="0" borderId="40" xfId="0" applyFont="1" applyBorder="1" applyAlignment="1" applyProtection="1">
      <alignment vertical="center" wrapText="1"/>
      <protection locked="0"/>
    </xf>
    <xf numFmtId="0" fontId="15" fillId="0" borderId="101" xfId="0" applyFont="1" applyBorder="1" applyAlignment="1" applyProtection="1">
      <alignment vertical="center" wrapText="1"/>
      <protection locked="0"/>
    </xf>
    <xf numFmtId="14" fontId="5" fillId="18" borderId="0" xfId="0" applyNumberFormat="1" applyFont="1" applyFill="1" applyAlignment="1">
      <alignment horizontal="left" vertical="center" wrapText="1"/>
    </xf>
    <xf numFmtId="14" fontId="21" fillId="0" borderId="0" xfId="0" applyNumberFormat="1" applyFont="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21" fillId="19" borderId="0" xfId="0" applyFont="1" applyFill="1" applyAlignment="1" applyProtection="1">
      <alignment horizontal="left" vertical="center" wrapText="1"/>
      <protection locked="0"/>
    </xf>
    <xf numFmtId="0" fontId="5" fillId="18" borderId="0" xfId="0" applyFont="1" applyFill="1" applyAlignment="1" applyProtection="1">
      <alignment horizontal="left" vertical="center" wrapText="1"/>
      <protection locked="0"/>
    </xf>
    <xf numFmtId="0" fontId="15" fillId="0" borderId="112" xfId="0" applyFont="1" applyBorder="1" applyAlignment="1" applyProtection="1">
      <alignment vertical="center" wrapText="1"/>
      <protection locked="0"/>
    </xf>
    <xf numFmtId="0" fontId="21" fillId="0" borderId="44" xfId="0" applyFont="1" applyBorder="1" applyAlignment="1" applyProtection="1">
      <alignment vertical="center" wrapText="1"/>
      <protection locked="0"/>
    </xf>
    <xf numFmtId="0" fontId="15" fillId="0" borderId="49" xfId="0" applyFont="1" applyBorder="1" applyAlignment="1" applyProtection="1">
      <alignment vertical="center" wrapText="1"/>
      <protection locked="0"/>
    </xf>
    <xf numFmtId="0" fontId="21" fillId="0" borderId="41" xfId="0" applyFont="1" applyBorder="1" applyAlignment="1" applyProtection="1">
      <alignment vertical="center" wrapText="1"/>
      <protection locked="0"/>
    </xf>
    <xf numFmtId="0" fontId="21" fillId="0" borderId="115" xfId="0" applyFont="1" applyBorder="1" applyProtection="1">
      <protection locked="0"/>
    </xf>
    <xf numFmtId="0" fontId="15" fillId="0" borderId="113" xfId="0" applyFont="1" applyBorder="1" applyAlignment="1" applyProtection="1">
      <alignment horizontal="left" vertical="center" wrapText="1"/>
      <protection locked="0"/>
    </xf>
    <xf numFmtId="0" fontId="15" fillId="0" borderId="42" xfId="0" applyFont="1" applyBorder="1" applyAlignment="1" applyProtection="1">
      <alignment vertical="center" wrapText="1"/>
      <protection locked="0"/>
    </xf>
    <xf numFmtId="0" fontId="9" fillId="0" borderId="43" xfId="0" applyFont="1" applyBorder="1" applyAlignment="1" applyProtection="1">
      <alignment horizontal="left" vertical="center" wrapText="1"/>
      <protection locked="0"/>
    </xf>
    <xf numFmtId="0" fontId="21" fillId="0" borderId="43" xfId="0" applyFont="1" applyBorder="1" applyAlignment="1" applyProtection="1">
      <alignment horizontal="left" vertical="center" wrapText="1"/>
      <protection locked="0"/>
    </xf>
    <xf numFmtId="0" fontId="15" fillId="0" borderId="0" xfId="0" applyFont="1" applyAlignment="1" applyProtection="1">
      <alignment horizontal="right" vertical="center" wrapText="1"/>
      <protection locked="0"/>
    </xf>
    <xf numFmtId="177" fontId="5" fillId="18" borderId="115" xfId="0" applyNumberFormat="1" applyFont="1" applyFill="1" applyBorder="1" applyAlignment="1">
      <alignment horizontal="left" vertical="center" wrapText="1"/>
    </xf>
    <xf numFmtId="14" fontId="21" fillId="0" borderId="115" xfId="0" applyNumberFormat="1" applyFont="1" applyBorder="1" applyAlignment="1" applyProtection="1">
      <alignment horizontal="left" vertical="center" wrapText="1"/>
      <protection locked="0"/>
    </xf>
    <xf numFmtId="0" fontId="21" fillId="0" borderId="115" xfId="0" applyFont="1" applyBorder="1" applyAlignment="1" applyProtection="1">
      <alignment horizontal="left" vertical="center" wrapText="1"/>
      <protection locked="0"/>
    </xf>
    <xf numFmtId="0" fontId="15" fillId="0" borderId="44" xfId="0" applyFont="1" applyBorder="1" applyAlignment="1" applyProtection="1">
      <alignment vertical="center" wrapText="1"/>
      <protection locked="0"/>
    </xf>
    <xf numFmtId="0" fontId="9" fillId="0" borderId="117" xfId="0" applyFont="1" applyBorder="1" applyAlignment="1" applyProtection="1">
      <alignment vertical="center"/>
      <protection locked="0"/>
    </xf>
    <xf numFmtId="0" fontId="15" fillId="0" borderId="41" xfId="0" applyFont="1" applyBorder="1" applyAlignment="1" applyProtection="1">
      <alignment vertical="center" wrapText="1"/>
      <protection locked="0"/>
    </xf>
    <xf numFmtId="0" fontId="9" fillId="0" borderId="55" xfId="0" applyFont="1" applyBorder="1" applyAlignment="1" applyProtection="1">
      <alignment vertical="center"/>
      <protection locked="0"/>
    </xf>
    <xf numFmtId="0" fontId="9" fillId="0" borderId="56" xfId="0" applyFont="1" applyBorder="1" applyAlignment="1" applyProtection="1">
      <alignment horizontal="left" vertical="center" wrapText="1"/>
      <protection locked="0"/>
    </xf>
    <xf numFmtId="0" fontId="45" fillId="0" borderId="0" xfId="0" applyFont="1"/>
    <xf numFmtId="0" fontId="9" fillId="0" borderId="81" xfId="11" quotePrefix="1" applyFont="1" applyBorder="1" applyAlignment="1">
      <alignment horizontal="left" vertical="top" wrapText="1"/>
    </xf>
    <xf numFmtId="0" fontId="9" fillId="0" borderId="87" xfId="11" quotePrefix="1" applyFont="1" applyBorder="1" applyAlignment="1">
      <alignment horizontal="left" vertical="top" wrapText="1"/>
    </xf>
    <xf numFmtId="0" fontId="9" fillId="0" borderId="83" xfId="11" quotePrefix="1" applyFont="1" applyBorder="1" applyAlignment="1">
      <alignment horizontal="left" vertical="top" wrapText="1"/>
    </xf>
    <xf numFmtId="0" fontId="9" fillId="0" borderId="88" xfId="11" quotePrefix="1" applyFont="1" applyBorder="1" applyAlignment="1">
      <alignment horizontal="left" vertical="top" wrapText="1"/>
    </xf>
    <xf numFmtId="0" fontId="27" fillId="0" borderId="5" xfId="5" quotePrefix="1" applyFont="1" applyBorder="1" applyAlignment="1">
      <alignment horizontal="center" vertical="top"/>
    </xf>
    <xf numFmtId="0" fontId="27" fillId="0" borderId="5" xfId="5" quotePrefix="1" applyFont="1" applyBorder="1" applyAlignment="1">
      <alignment horizontal="left" vertical="top"/>
    </xf>
    <xf numFmtId="0" fontId="27" fillId="0" borderId="5" xfId="0" quotePrefix="1" applyFont="1" applyBorder="1"/>
    <xf numFmtId="0" fontId="51" fillId="18" borderId="5" xfId="13" quotePrefix="1" applyFill="1" applyBorder="1" applyAlignment="1">
      <alignment horizontal="left" vertical="top" wrapText="1"/>
    </xf>
    <xf numFmtId="0" fontId="51" fillId="18" borderId="39" xfId="13" quotePrefix="1" applyFill="1" applyBorder="1" applyAlignment="1">
      <alignment horizontal="left" vertical="top" wrapText="1"/>
    </xf>
    <xf numFmtId="0" fontId="24" fillId="18" borderId="5" xfId="1" quotePrefix="1" applyFill="1" applyBorder="1" applyAlignment="1">
      <alignment horizontal="left" vertical="top" wrapText="1"/>
    </xf>
    <xf numFmtId="0" fontId="9" fillId="6" borderId="17" xfId="11" quotePrefix="1" applyFont="1" applyFill="1" applyBorder="1" applyAlignment="1">
      <alignment horizontal="center" vertical="center"/>
    </xf>
    <xf numFmtId="0" fontId="9" fillId="6" borderId="18" xfId="11" quotePrefix="1" applyFont="1" applyFill="1" applyBorder="1" applyAlignment="1">
      <alignment horizontal="center" vertical="center"/>
    </xf>
    <xf numFmtId="0" fontId="9" fillId="6" borderId="20" xfId="11" quotePrefix="1" applyFont="1" applyFill="1" applyBorder="1" applyAlignment="1">
      <alignment horizontal="center" vertical="center"/>
    </xf>
    <xf numFmtId="0" fontId="9" fillId="6" borderId="25" xfId="11" quotePrefix="1" applyFont="1" applyFill="1" applyBorder="1" applyAlignment="1">
      <alignment horizontal="center" vertical="center"/>
    </xf>
    <xf numFmtId="0" fontId="21" fillId="19" borderId="66" xfId="5" applyFont="1" applyFill="1" applyBorder="1" applyAlignment="1">
      <alignment horizontal="left" vertical="center" wrapText="1"/>
    </xf>
    <xf numFmtId="0" fontId="0" fillId="19" borderId="66" xfId="0" applyFill="1" applyBorder="1" applyAlignment="1">
      <alignment horizontal="left" vertical="center" wrapText="1"/>
    </xf>
    <xf numFmtId="0" fontId="5" fillId="19" borderId="66" xfId="5" applyFont="1" applyFill="1" applyBorder="1" applyAlignment="1">
      <alignment horizontal="left" vertical="center" wrapText="1"/>
    </xf>
    <xf numFmtId="0" fontId="34" fillId="0" borderId="113" xfId="5" applyFont="1" applyFill="1" applyBorder="1" applyAlignment="1">
      <alignment horizontal="center" vertical="center" wrapText="1"/>
    </xf>
    <xf numFmtId="0" fontId="34" fillId="0" borderId="120" xfId="5" applyFont="1" applyBorder="1" applyAlignment="1" applyProtection="1">
      <alignment horizontal="center" vertical="center" wrapText="1"/>
      <protection locked="0"/>
    </xf>
    <xf numFmtId="0" fontId="53" fillId="26" borderId="5" xfId="0" applyFont="1" applyFill="1" applyBorder="1" applyAlignment="1">
      <alignment horizontal="center" vertical="center" wrapText="1"/>
    </xf>
    <xf numFmtId="0" fontId="55" fillId="26" borderId="5" xfId="0" applyFont="1" applyFill="1" applyBorder="1" applyAlignment="1">
      <alignment horizontal="center" vertical="center" wrapText="1"/>
    </xf>
    <xf numFmtId="0" fontId="56" fillId="26" borderId="5" xfId="0" applyFont="1" applyFill="1" applyBorder="1" applyAlignment="1">
      <alignment horizontal="center" vertical="center" wrapText="1"/>
    </xf>
    <xf numFmtId="0" fontId="7" fillId="0" borderId="5" xfId="0" applyFont="1" applyBorder="1" applyAlignment="1">
      <alignment horizontal="center" vertical="center" wrapText="1"/>
    </xf>
    <xf numFmtId="0" fontId="7" fillId="0" borderId="5" xfId="0" applyFont="1" applyBorder="1" applyAlignment="1">
      <alignment horizontal="left" vertical="center" wrapText="1"/>
    </xf>
    <xf numFmtId="0" fontId="43" fillId="19" borderId="40" xfId="0" applyFont="1" applyFill="1" applyBorder="1" applyAlignment="1" applyProtection="1">
      <alignment horizontal="center" vertical="center" wrapText="1"/>
      <protection locked="0"/>
    </xf>
    <xf numFmtId="0" fontId="43" fillId="19" borderId="41" xfId="0" applyFont="1" applyFill="1" applyBorder="1" applyAlignment="1" applyProtection="1">
      <alignment horizontal="center" vertical="center" wrapText="1"/>
      <protection locked="0"/>
    </xf>
    <xf numFmtId="0" fontId="43" fillId="19" borderId="55" xfId="0" applyFont="1" applyFill="1" applyBorder="1" applyAlignment="1" applyProtection="1">
      <alignment horizontal="center" vertical="center" wrapText="1"/>
      <protection locked="0"/>
    </xf>
    <xf numFmtId="0" fontId="21" fillId="0" borderId="41" xfId="0" applyFont="1" applyBorder="1" applyAlignment="1" applyProtection="1">
      <alignment horizontal="center" vertical="center" wrapText="1"/>
      <protection locked="0"/>
    </xf>
    <xf numFmtId="0" fontId="21" fillId="0" borderId="55" xfId="0" applyFont="1" applyBorder="1" applyAlignment="1" applyProtection="1">
      <alignment horizontal="center" vertical="center" wrapText="1"/>
      <protection locked="0"/>
    </xf>
    <xf numFmtId="14" fontId="21" fillId="0" borderId="0" xfId="0" applyNumberFormat="1" applyFont="1" applyAlignment="1" applyProtection="1">
      <alignment horizontal="left" vertical="center" wrapText="1"/>
      <protection locked="0"/>
    </xf>
    <xf numFmtId="14" fontId="21" fillId="0" borderId="115" xfId="0" applyNumberFormat="1" applyFont="1" applyBorder="1" applyAlignment="1" applyProtection="1">
      <alignment horizontal="left" vertical="center" wrapText="1"/>
      <protection locked="0"/>
    </xf>
    <xf numFmtId="0" fontId="44" fillId="18" borderId="0" xfId="0" applyFont="1" applyFill="1" applyAlignment="1" applyProtection="1">
      <alignment horizontal="left" vertical="center" wrapText="1"/>
      <protection locked="0"/>
    </xf>
    <xf numFmtId="0" fontId="40" fillId="18" borderId="0" xfId="0" applyFont="1" applyFill="1" applyAlignment="1" applyProtection="1">
      <alignment horizontal="left" vertical="center" wrapText="1"/>
      <protection locked="0"/>
    </xf>
    <xf numFmtId="0" fontId="40" fillId="18" borderId="115" xfId="0" applyFont="1" applyFill="1" applyBorder="1" applyAlignment="1" applyProtection="1">
      <alignment horizontal="left" vertical="center" wrapText="1"/>
      <protection locked="0"/>
    </xf>
    <xf numFmtId="0" fontId="21" fillId="0" borderId="0" xfId="0" applyFont="1" applyAlignment="1" applyProtection="1">
      <alignment horizontal="left" vertical="center" wrapText="1"/>
      <protection locked="0"/>
    </xf>
    <xf numFmtId="0" fontId="21" fillId="0" borderId="115" xfId="0" applyFont="1" applyBorder="1" applyAlignment="1" applyProtection="1">
      <alignment horizontal="left" vertical="center" wrapText="1"/>
      <protection locked="0"/>
    </xf>
    <xf numFmtId="0" fontId="39" fillId="14" borderId="98" xfId="0" applyFont="1" applyFill="1" applyBorder="1" applyAlignment="1" applyProtection="1">
      <alignment horizontal="center" vertical="center" wrapText="1"/>
      <protection locked="0"/>
    </xf>
    <xf numFmtId="0" fontId="39" fillId="14" borderId="99" xfId="0" applyFont="1" applyFill="1" applyBorder="1" applyAlignment="1" applyProtection="1">
      <alignment horizontal="center" vertical="center" wrapText="1"/>
      <protection locked="0"/>
    </xf>
    <xf numFmtId="0" fontId="39" fillId="14" borderId="108" xfId="0" applyFont="1" applyFill="1" applyBorder="1" applyAlignment="1" applyProtection="1">
      <alignment horizontal="center" vertical="center" wrapText="1"/>
      <protection locked="0"/>
    </xf>
    <xf numFmtId="0" fontId="21" fillId="0" borderId="3" xfId="0" applyFont="1" applyBorder="1" applyAlignment="1">
      <alignment horizontal="center" vertical="center" wrapText="1"/>
    </xf>
    <xf numFmtId="0" fontId="21" fillId="0" borderId="6" xfId="0" applyFont="1" applyBorder="1" applyAlignment="1">
      <alignment horizontal="center" vertical="center" wrapText="1"/>
    </xf>
    <xf numFmtId="0" fontId="15" fillId="0" borderId="3" xfId="0" applyFont="1" applyBorder="1" applyAlignment="1" applyProtection="1">
      <alignment horizontal="center" vertical="center" wrapText="1"/>
      <protection locked="0"/>
    </xf>
    <xf numFmtId="0" fontId="15" fillId="0" borderId="118" xfId="0" applyFont="1" applyBorder="1" applyAlignment="1" applyProtection="1">
      <alignment horizontal="center" vertical="center" wrapText="1"/>
      <protection locked="0"/>
    </xf>
    <xf numFmtId="0" fontId="8" fillId="14" borderId="113" xfId="0" applyFont="1" applyFill="1" applyBorder="1" applyAlignment="1" applyProtection="1">
      <alignment horizontal="center" vertical="center" wrapText="1"/>
      <protection locked="0"/>
    </xf>
    <xf numFmtId="0" fontId="8" fillId="14" borderId="114" xfId="0" applyFont="1" applyFill="1" applyBorder="1" applyAlignment="1" applyProtection="1">
      <alignment horizontal="center" vertical="center" wrapText="1"/>
      <protection locked="0"/>
    </xf>
    <xf numFmtId="0" fontId="8" fillId="14" borderId="119" xfId="0" applyFont="1" applyFill="1" applyBorder="1" applyAlignment="1" applyProtection="1">
      <alignment horizontal="center" vertical="center" wrapText="1"/>
      <protection locked="0"/>
    </xf>
    <xf numFmtId="0" fontId="21" fillId="0" borderId="114" xfId="0" applyFont="1" applyBorder="1" applyAlignment="1">
      <alignment horizontal="center" vertical="center" wrapText="1"/>
    </xf>
    <xf numFmtId="0" fontId="15" fillId="0" borderId="120" xfId="0" applyFont="1" applyBorder="1" applyAlignment="1" applyProtection="1">
      <alignment horizontal="center" vertical="center" wrapText="1"/>
      <protection locked="0"/>
    </xf>
    <xf numFmtId="0" fontId="15" fillId="0" borderId="108" xfId="0" applyFont="1" applyBorder="1" applyAlignment="1" applyProtection="1">
      <alignment horizontal="center" vertical="center" wrapText="1"/>
      <protection locked="0"/>
    </xf>
    <xf numFmtId="0" fontId="21" fillId="0" borderId="116" xfId="0" applyFont="1" applyBorder="1" applyAlignment="1" applyProtection="1">
      <alignment horizontal="left" vertical="center" wrapText="1"/>
      <protection locked="0"/>
    </xf>
    <xf numFmtId="0" fontId="21" fillId="0" borderId="121" xfId="0" applyFont="1" applyBorder="1" applyAlignment="1" applyProtection="1">
      <alignment horizontal="left" vertical="center" wrapText="1"/>
      <protection locked="0"/>
    </xf>
    <xf numFmtId="0" fontId="9" fillId="18" borderId="0" xfId="0" applyFont="1" applyFill="1" applyAlignment="1" applyProtection="1">
      <alignment horizontal="left" vertical="center" wrapText="1"/>
      <protection locked="0"/>
    </xf>
    <xf numFmtId="0" fontId="9" fillId="18" borderId="115" xfId="0" applyFont="1" applyFill="1" applyBorder="1" applyAlignment="1" applyProtection="1">
      <alignment horizontal="left" vertical="center" wrapText="1"/>
      <protection locked="0"/>
    </xf>
    <xf numFmtId="0" fontId="9" fillId="18" borderId="0" xfId="1" applyFont="1" applyFill="1" applyBorder="1" applyAlignment="1">
      <alignment vertical="center" wrapText="1"/>
    </xf>
    <xf numFmtId="0" fontId="9" fillId="18" borderId="0" xfId="1" applyFont="1" applyFill="1" applyBorder="1" applyAlignment="1">
      <alignment vertical="center"/>
    </xf>
    <xf numFmtId="0" fontId="9" fillId="18" borderId="115" xfId="1" applyFont="1" applyFill="1" applyBorder="1" applyAlignment="1">
      <alignment vertical="center"/>
    </xf>
    <xf numFmtId="0" fontId="21" fillId="0" borderId="0" xfId="0" applyFont="1" applyAlignment="1">
      <alignment horizontal="left" vertical="center" wrapText="1"/>
    </xf>
    <xf numFmtId="0" fontId="21" fillId="18" borderId="0" xfId="0" applyFont="1" applyFill="1" applyAlignment="1" applyProtection="1">
      <alignment horizontal="left" vertical="center" wrapText="1"/>
      <protection locked="0"/>
    </xf>
    <xf numFmtId="0" fontId="21" fillId="18" borderId="115" xfId="0" applyFont="1" applyFill="1" applyBorder="1" applyAlignment="1" applyProtection="1">
      <alignment horizontal="left" vertical="center" wrapText="1"/>
      <protection locked="0"/>
    </xf>
    <xf numFmtId="0" fontId="40" fillId="0" borderId="0" xfId="0" applyFont="1" applyAlignment="1">
      <alignment horizontal="center" vertical="center"/>
    </xf>
    <xf numFmtId="0" fontId="0" fillId="0" borderId="100" xfId="0" applyBorder="1" applyAlignment="1">
      <alignment horizontal="center" vertical="center"/>
    </xf>
    <xf numFmtId="0" fontId="0" fillId="0" borderId="51" xfId="0" applyBorder="1" applyAlignment="1">
      <alignment horizontal="center" vertical="center"/>
    </xf>
    <xf numFmtId="0" fontId="0" fillId="0" borderId="66" xfId="0" applyBorder="1" applyAlignment="1">
      <alignment horizontal="center" vertical="center"/>
    </xf>
    <xf numFmtId="0" fontId="39" fillId="24" borderId="40" xfId="0" applyFont="1" applyFill="1" applyBorder="1" applyAlignment="1">
      <alignment horizontal="center" vertical="center"/>
    </xf>
    <xf numFmtId="0" fontId="39" fillId="24" borderId="41" xfId="0" applyFont="1" applyFill="1" applyBorder="1" applyAlignment="1">
      <alignment horizontal="center" vertical="center"/>
    </xf>
    <xf numFmtId="0" fontId="39" fillId="24" borderId="55" xfId="0" applyFont="1" applyFill="1" applyBorder="1" applyAlignment="1">
      <alignment horizontal="center" vertical="center"/>
    </xf>
    <xf numFmtId="0" fontId="40" fillId="14" borderId="66" xfId="3" applyFont="1" applyFill="1" applyBorder="1" applyAlignment="1">
      <alignment horizontal="center" vertical="center" wrapText="1"/>
    </xf>
    <xf numFmtId="49" fontId="41" fillId="19" borderId="5" xfId="0" applyNumberFormat="1" applyFont="1" applyFill="1" applyBorder="1" applyAlignment="1">
      <alignment horizontal="left" vertical="top" wrapText="1"/>
    </xf>
    <xf numFmtId="49" fontId="41" fillId="19" borderId="61" xfId="0" applyNumberFormat="1" applyFont="1" applyFill="1" applyBorder="1" applyAlignment="1">
      <alignment horizontal="left" vertical="top" wrapText="1"/>
    </xf>
    <xf numFmtId="0" fontId="39" fillId="0" borderId="0" xfId="0" applyFont="1" applyFill="1" applyBorder="1" applyAlignment="1">
      <alignment horizontal="left" vertical="center"/>
    </xf>
    <xf numFmtId="14" fontId="34" fillId="0" borderId="0" xfId="0" applyNumberFormat="1" applyFont="1" applyFill="1" applyBorder="1" applyAlignment="1">
      <alignment horizontal="center"/>
    </xf>
    <xf numFmtId="0" fontId="40" fillId="0" borderId="0" xfId="3" applyFont="1" applyFill="1" applyBorder="1" applyAlignment="1">
      <alignment horizontal="center" vertical="center" wrapText="1"/>
    </xf>
    <xf numFmtId="49" fontId="41" fillId="0" borderId="0" xfId="0" applyNumberFormat="1" applyFont="1" applyFill="1" applyBorder="1" applyAlignment="1">
      <alignment horizontal="left" vertical="top" wrapText="1"/>
    </xf>
    <xf numFmtId="0" fontId="34" fillId="15" borderId="38" xfId="5" applyFont="1" applyFill="1" applyBorder="1" applyAlignment="1" applyProtection="1">
      <alignment horizontal="center" vertical="center" wrapText="1"/>
      <protection locked="0"/>
    </xf>
    <xf numFmtId="0" fontId="34" fillId="15" borderId="62" xfId="5" applyFont="1" applyFill="1" applyBorder="1" applyAlignment="1" applyProtection="1">
      <alignment horizontal="center" vertical="center" wrapText="1"/>
      <protection locked="0"/>
    </xf>
    <xf numFmtId="0" fontId="34" fillId="14" borderId="33" xfId="5" applyFont="1" applyFill="1" applyBorder="1" applyAlignment="1">
      <alignment horizontal="center" vertical="center" wrapText="1"/>
    </xf>
    <xf numFmtId="0" fontId="34" fillId="14" borderId="104" xfId="5" applyFont="1" applyFill="1" applyBorder="1" applyAlignment="1">
      <alignment horizontal="center" vertical="center" wrapText="1"/>
    </xf>
    <xf numFmtId="0" fontId="34" fillId="14" borderId="124" xfId="5" applyFont="1" applyFill="1" applyBorder="1" applyAlignment="1">
      <alignment horizontal="center" vertical="center" wrapText="1"/>
    </xf>
    <xf numFmtId="0" fontId="34" fillId="0" borderId="107" xfId="5" applyFont="1" applyBorder="1" applyAlignment="1" applyProtection="1">
      <alignment horizontal="center" vertical="center" wrapText="1"/>
      <protection locked="0"/>
    </xf>
    <xf numFmtId="0" fontId="34" fillId="0" borderId="2" xfId="5" applyFont="1" applyBorder="1" applyAlignment="1" applyProtection="1">
      <alignment horizontal="center" vertical="center" wrapText="1"/>
      <protection locked="0"/>
    </xf>
    <xf numFmtId="0" fontId="34" fillId="23" borderId="122" xfId="5" applyFont="1" applyFill="1" applyBorder="1" applyAlignment="1" applyProtection="1">
      <alignment horizontal="center" vertical="center" wrapText="1"/>
      <protection locked="0"/>
    </xf>
    <xf numFmtId="0" fontId="34" fillId="23" borderId="123" xfId="5" applyFont="1" applyFill="1" applyBorder="1" applyAlignment="1" applyProtection="1">
      <alignment horizontal="center" vertical="center" wrapText="1"/>
      <protection locked="0"/>
    </xf>
    <xf numFmtId="0" fontId="25" fillId="0" borderId="0" xfId="5" applyFont="1" applyAlignment="1">
      <alignment horizontal="left" vertical="center" wrapText="1"/>
    </xf>
    <xf numFmtId="0" fontId="8" fillId="0" borderId="0" xfId="5" applyFont="1" applyAlignment="1">
      <alignment horizontal="left" vertical="center" wrapText="1"/>
    </xf>
    <xf numFmtId="0" fontId="8" fillId="18" borderId="98" xfId="5" applyFont="1" applyFill="1" applyBorder="1" applyAlignment="1">
      <alignment horizontal="center" vertical="center" wrapText="1"/>
    </xf>
    <xf numFmtId="0" fontId="8" fillId="18" borderId="99" xfId="5" applyFont="1" applyFill="1" applyBorder="1" applyAlignment="1">
      <alignment horizontal="center" vertical="center" wrapText="1"/>
    </xf>
    <xf numFmtId="0" fontId="8" fillId="18" borderId="108" xfId="5" applyFont="1" applyFill="1" applyBorder="1" applyAlignment="1">
      <alignment horizontal="center" vertical="center" wrapText="1"/>
    </xf>
    <xf numFmtId="0" fontId="33" fillId="0" borderId="0" xfId="5" applyFont="1" applyAlignment="1">
      <alignment horizontal="center" vertical="center"/>
    </xf>
    <xf numFmtId="0" fontId="34" fillId="22" borderId="103" xfId="0" applyFont="1" applyFill="1" applyBorder="1" applyAlignment="1" applyProtection="1">
      <alignment horizontal="center" vertical="center" wrapText="1"/>
      <protection locked="0"/>
    </xf>
    <xf numFmtId="0" fontId="34" fillId="22" borderId="38" xfId="0" applyFont="1" applyFill="1" applyBorder="1" applyAlignment="1" applyProtection="1">
      <alignment horizontal="center" vertical="center" wrapText="1"/>
      <protection locked="0"/>
    </xf>
    <xf numFmtId="0" fontId="34" fillId="22" borderId="37" xfId="0" applyFont="1" applyFill="1" applyBorder="1" applyAlignment="1" applyProtection="1">
      <alignment horizontal="center" vertical="center" wrapText="1"/>
      <protection locked="0"/>
    </xf>
    <xf numFmtId="0" fontId="34" fillId="15" borderId="103" xfId="5" applyFont="1" applyFill="1" applyBorder="1" applyAlignment="1" applyProtection="1">
      <alignment horizontal="center" vertical="center" wrapText="1"/>
      <protection locked="0"/>
    </xf>
    <xf numFmtId="0" fontId="34" fillId="15" borderId="105" xfId="5" applyFont="1" applyFill="1" applyBorder="1" applyAlignment="1" applyProtection="1">
      <alignment horizontal="center" vertical="center" wrapText="1"/>
      <protection locked="0"/>
    </xf>
    <xf numFmtId="0" fontId="34" fillId="15" borderId="104" xfId="5" applyFont="1" applyFill="1" applyBorder="1" applyAlignment="1" applyProtection="1">
      <alignment horizontal="center" vertical="center" wrapText="1"/>
      <protection locked="0"/>
    </xf>
    <xf numFmtId="0" fontId="0" fillId="0" borderId="106" xfId="0" applyBorder="1" applyAlignment="1">
      <alignment vertical="center" wrapText="1"/>
    </xf>
    <xf numFmtId="0" fontId="34" fillId="15" borderId="37" xfId="5" applyFont="1" applyFill="1" applyBorder="1" applyAlignment="1" applyProtection="1">
      <alignment horizontal="center" vertical="center" wrapText="1"/>
      <protection locked="0"/>
    </xf>
    <xf numFmtId="0" fontId="34" fillId="15" borderId="61" xfId="5" applyFont="1" applyFill="1" applyBorder="1" applyAlignment="1" applyProtection="1">
      <alignment horizontal="center" vertical="center" wrapText="1"/>
      <protection locked="0"/>
    </xf>
    <xf numFmtId="0" fontId="34" fillId="15" borderId="106" xfId="5" applyFont="1" applyFill="1" applyBorder="1" applyAlignment="1" applyProtection="1">
      <alignment horizontal="center" vertical="center" wrapText="1"/>
      <protection locked="0"/>
    </xf>
    <xf numFmtId="0" fontId="34" fillId="21" borderId="38" xfId="0" applyFont="1" applyFill="1" applyBorder="1" applyAlignment="1" applyProtection="1">
      <alignment horizontal="center" vertical="center" wrapText="1"/>
      <protection locked="0"/>
    </xf>
    <xf numFmtId="0" fontId="34" fillId="21" borderId="62" xfId="0" applyFont="1" applyFill="1" applyBorder="1" applyAlignment="1" applyProtection="1">
      <alignment horizontal="center" vertical="center" wrapText="1"/>
      <protection locked="0"/>
    </xf>
    <xf numFmtId="0" fontId="18" fillId="21" borderId="107" xfId="0" applyFont="1" applyFill="1" applyBorder="1" applyAlignment="1" applyProtection="1">
      <alignment horizontal="center" vertical="center" wrapText="1"/>
      <protection locked="0"/>
    </xf>
    <xf numFmtId="0" fontId="18" fillId="21" borderId="2" xfId="0" applyFont="1" applyFill="1" applyBorder="1" applyAlignment="1" applyProtection="1">
      <alignment horizontal="center" vertical="center" wrapText="1"/>
      <protection locked="0"/>
    </xf>
    <xf numFmtId="0" fontId="8" fillId="18" borderId="98" xfId="0" applyFont="1" applyFill="1" applyBorder="1" applyAlignment="1">
      <alignment horizontal="center" vertical="center" wrapText="1"/>
    </xf>
    <xf numFmtId="0" fontId="8" fillId="18" borderId="99" xfId="0" applyFont="1" applyFill="1" applyBorder="1" applyAlignment="1">
      <alignment horizontal="center" vertical="center" wrapText="1"/>
    </xf>
    <xf numFmtId="0" fontId="33" fillId="0" borderId="44" xfId="0" applyFont="1" applyBorder="1" applyAlignment="1">
      <alignment horizontal="center" vertical="center"/>
    </xf>
    <xf numFmtId="0" fontId="33" fillId="0" borderId="0" xfId="0" applyFont="1" applyAlignment="1">
      <alignment horizontal="center" vertical="center"/>
    </xf>
    <xf numFmtId="0" fontId="58" fillId="0" borderId="100" xfId="0" applyFont="1" applyBorder="1" applyAlignment="1">
      <alignment horizontal="center" vertical="center" wrapText="1"/>
    </xf>
    <xf numFmtId="0" fontId="58" fillId="0" borderId="51" xfId="0" applyFont="1" applyBorder="1" applyAlignment="1">
      <alignment horizontal="center" vertical="center" wrapText="1"/>
    </xf>
    <xf numFmtId="0" fontId="58" fillId="0" borderId="66" xfId="0" applyFont="1" applyBorder="1" applyAlignment="1">
      <alignment horizontal="center" vertical="center" wrapText="1"/>
    </xf>
    <xf numFmtId="0" fontId="9" fillId="0" borderId="8" xfId="11" applyFont="1" applyBorder="1" applyAlignment="1">
      <alignment horizontal="left" vertical="top" wrapText="1"/>
    </xf>
    <xf numFmtId="0" fontId="9" fillId="0" borderId="81" xfId="11" applyFont="1" applyBorder="1" applyAlignment="1">
      <alignment horizontal="left" vertical="top" wrapText="1"/>
    </xf>
    <xf numFmtId="0" fontId="9" fillId="0" borderId="87" xfId="11" applyFont="1" applyBorder="1" applyAlignment="1">
      <alignment horizontal="left" vertical="top" wrapText="1"/>
    </xf>
    <xf numFmtId="0" fontId="9" fillId="0" borderId="82" xfId="11" applyFont="1" applyBorder="1" applyAlignment="1">
      <alignment horizontal="left" vertical="top" wrapText="1"/>
    </xf>
    <xf numFmtId="0" fontId="9" fillId="0" borderId="83" xfId="11" applyFont="1" applyBorder="1" applyAlignment="1">
      <alignment horizontal="left" vertical="top" wrapText="1"/>
    </xf>
    <xf numFmtId="0" fontId="9" fillId="0" borderId="88" xfId="11" applyFont="1" applyBorder="1" applyAlignment="1">
      <alignment horizontal="left" vertical="top" wrapText="1"/>
    </xf>
    <xf numFmtId="0" fontId="9" fillId="0" borderId="10" xfId="11" applyFont="1" applyBorder="1" applyAlignment="1">
      <alignment horizontal="left" vertical="top" wrapText="1"/>
    </xf>
    <xf numFmtId="0" fontId="9" fillId="0" borderId="11" xfId="11" applyFont="1" applyBorder="1" applyAlignment="1">
      <alignment horizontal="left" vertical="top" wrapText="1"/>
    </xf>
    <xf numFmtId="0" fontId="9" fillId="0" borderId="26" xfId="11" applyFont="1" applyBorder="1" applyAlignment="1">
      <alignment horizontal="left" vertical="top" wrapText="1"/>
    </xf>
    <xf numFmtId="0" fontId="9" fillId="0" borderId="94" xfId="11" applyFont="1" applyBorder="1" applyAlignment="1">
      <alignment horizontal="left" vertical="top" wrapText="1"/>
    </xf>
    <xf numFmtId="0" fontId="9" fillId="0" borderId="0" xfId="11" applyFont="1" applyAlignment="1">
      <alignment horizontal="left" vertical="top" wrapText="1"/>
    </xf>
    <xf numFmtId="0" fontId="9" fillId="0" borderId="96" xfId="11" applyFont="1" applyBorder="1" applyAlignment="1">
      <alignment horizontal="left" vertical="top" wrapText="1"/>
    </xf>
    <xf numFmtId="0" fontId="9" fillId="0" borderId="12" xfId="11" applyFont="1" applyBorder="1" applyAlignment="1">
      <alignment horizontal="left" vertical="top" wrapText="1"/>
    </xf>
    <xf numFmtId="0" fontId="9" fillId="0" borderId="13" xfId="11" applyFont="1" applyBorder="1" applyAlignment="1">
      <alignment horizontal="left" vertical="top" wrapText="1"/>
    </xf>
    <xf numFmtId="0" fontId="9" fillId="0" borderId="27" xfId="11" applyFont="1" applyBorder="1" applyAlignment="1">
      <alignment horizontal="left" vertical="top" wrapText="1"/>
    </xf>
    <xf numFmtId="0" fontId="9" fillId="0" borderId="92" xfId="11" applyFont="1" applyBorder="1" applyAlignment="1">
      <alignment horizontal="left" vertical="top"/>
    </xf>
    <xf numFmtId="0" fontId="9" fillId="0" borderId="93" xfId="11" applyFont="1" applyBorder="1" applyAlignment="1">
      <alignment horizontal="left" vertical="top"/>
    </xf>
    <xf numFmtId="0" fontId="9" fillId="0" borderId="95" xfId="11" applyFont="1" applyBorder="1" applyAlignment="1">
      <alignment horizontal="left" vertical="top"/>
    </xf>
    <xf numFmtId="0" fontId="9" fillId="0" borderId="8" xfId="11" applyFont="1" applyBorder="1" applyAlignment="1">
      <alignment horizontal="left" vertical="top"/>
    </xf>
    <xf numFmtId="0" fontId="9" fillId="0" borderId="81" xfId="11" applyFont="1" applyBorder="1" applyAlignment="1">
      <alignment horizontal="left" vertical="top"/>
    </xf>
    <xf numFmtId="0" fontId="9" fillId="0" borderId="87" xfId="11" applyFont="1" applyBorder="1" applyAlignment="1">
      <alignment horizontal="left" vertical="top"/>
    </xf>
    <xf numFmtId="0" fontId="15" fillId="0" borderId="0" xfId="11" applyFont="1" applyAlignment="1">
      <alignment horizontal="left" vertical="center" wrapText="1"/>
    </xf>
    <xf numFmtId="0" fontId="15" fillId="15" borderId="8" xfId="11" applyFont="1" applyFill="1" applyBorder="1" applyAlignment="1">
      <alignment horizontal="left" vertical="top" wrapText="1"/>
    </xf>
    <xf numFmtId="0" fontId="7" fillId="0" borderId="100" xfId="0" applyFont="1" applyBorder="1" applyAlignment="1">
      <alignment horizontal="center" vertical="center" wrapText="1"/>
    </xf>
    <xf numFmtId="0" fontId="7" fillId="0" borderId="51" xfId="0" applyFont="1" applyBorder="1" applyAlignment="1">
      <alignment horizontal="center" vertical="center" wrapText="1"/>
    </xf>
    <xf numFmtId="0" fontId="7" fillId="0" borderId="66" xfId="0" applyFont="1" applyBorder="1" applyAlignment="1">
      <alignment horizontal="center" vertical="center" wrapText="1"/>
    </xf>
    <xf numFmtId="0" fontId="8" fillId="0" borderId="10" xfId="11" applyFont="1" applyBorder="1" applyAlignment="1">
      <alignment horizontal="center" vertical="center" wrapText="1"/>
    </xf>
    <xf numFmtId="0" fontId="8" fillId="0" borderId="11" xfId="11" applyFont="1" applyBorder="1" applyAlignment="1">
      <alignment horizontal="center" vertical="center" wrapText="1"/>
    </xf>
    <xf numFmtId="0" fontId="8" fillId="0" borderId="26" xfId="11" applyFont="1" applyBorder="1" applyAlignment="1">
      <alignment horizontal="center" vertical="center" wrapText="1"/>
    </xf>
    <xf numFmtId="0" fontId="8" fillId="0" borderId="12" xfId="11" applyFont="1" applyBorder="1" applyAlignment="1">
      <alignment horizontal="center" vertical="center" wrapText="1"/>
    </xf>
    <xf numFmtId="0" fontId="8" fillId="0" borderId="13" xfId="11" applyFont="1" applyBorder="1" applyAlignment="1">
      <alignment horizontal="center" vertical="center" wrapText="1"/>
    </xf>
    <xf numFmtId="0" fontId="8" fillId="0" borderId="27" xfId="11" applyFont="1" applyBorder="1" applyAlignment="1">
      <alignment horizontal="center" vertical="center" wrapText="1"/>
    </xf>
    <xf numFmtId="0" fontId="9" fillId="15" borderId="80" xfId="11" applyFont="1" applyFill="1" applyBorder="1" applyAlignment="1">
      <alignment horizontal="left" vertical="top" wrapText="1"/>
    </xf>
    <xf numFmtId="0" fontId="9" fillId="15" borderId="86" xfId="11" applyFont="1" applyFill="1" applyBorder="1" applyAlignment="1">
      <alignment horizontal="left" vertical="top" wrapText="1"/>
    </xf>
    <xf numFmtId="0" fontId="15" fillId="15" borderId="78" xfId="11" applyFont="1" applyFill="1" applyBorder="1" applyAlignment="1">
      <alignment horizontal="left" vertical="top"/>
    </xf>
    <xf numFmtId="0" fontId="15" fillId="15" borderId="79" xfId="11" applyFont="1" applyFill="1" applyBorder="1" applyAlignment="1">
      <alignment horizontal="left" vertical="top"/>
    </xf>
    <xf numFmtId="0" fontId="15" fillId="15" borderId="85" xfId="11" applyFont="1" applyFill="1" applyBorder="1" applyAlignment="1">
      <alignment horizontal="left" vertical="top"/>
    </xf>
    <xf numFmtId="0" fontId="9" fillId="15" borderId="80" xfId="11" applyFont="1" applyFill="1" applyBorder="1" applyAlignment="1">
      <alignment horizontal="left" vertical="top"/>
    </xf>
    <xf numFmtId="0" fontId="9" fillId="15" borderId="86" xfId="11" applyFont="1" applyFill="1" applyBorder="1" applyAlignment="1">
      <alignment horizontal="left" vertical="top"/>
    </xf>
    <xf numFmtId="0" fontId="9" fillId="15" borderId="89" xfId="11" applyFont="1" applyFill="1" applyBorder="1" applyAlignment="1">
      <alignment horizontal="left" vertical="top" wrapText="1"/>
    </xf>
    <xf numFmtId="0" fontId="9" fillId="15" borderId="90" xfId="11" applyFont="1" applyFill="1" applyBorder="1" applyAlignment="1">
      <alignment horizontal="left" vertical="top" wrapText="1"/>
    </xf>
    <xf numFmtId="0" fontId="9" fillId="15" borderId="91" xfId="11" applyFont="1" applyFill="1" applyBorder="1" applyAlignment="1">
      <alignment horizontal="left" vertical="top" wrapText="1"/>
    </xf>
    <xf numFmtId="0" fontId="9" fillId="0" borderId="7" xfId="11" applyFont="1" applyBorder="1" applyAlignment="1">
      <alignment horizontal="left" vertical="top"/>
    </xf>
    <xf numFmtId="0" fontId="9" fillId="0" borderId="80" xfId="11" applyFont="1" applyBorder="1" applyAlignment="1">
      <alignment horizontal="left" vertical="top"/>
    </xf>
    <xf numFmtId="0" fontId="9" fillId="0" borderId="86" xfId="11" applyFont="1" applyBorder="1" applyAlignment="1">
      <alignment horizontal="left" vertical="top"/>
    </xf>
    <xf numFmtId="0" fontId="15" fillId="15" borderId="89" xfId="11" applyFont="1" applyFill="1" applyBorder="1" applyAlignment="1">
      <alignment horizontal="left" vertical="top"/>
    </xf>
    <xf numFmtId="0" fontId="15" fillId="15" borderId="90" xfId="11" applyFont="1" applyFill="1" applyBorder="1" applyAlignment="1">
      <alignment horizontal="left" vertical="top"/>
    </xf>
    <xf numFmtId="0" fontId="15" fillId="15" borderId="91" xfId="11" applyFont="1" applyFill="1" applyBorder="1" applyAlignment="1">
      <alignment horizontal="left" vertical="top"/>
    </xf>
    <xf numFmtId="0" fontId="15" fillId="15" borderId="7" xfId="11" applyFont="1" applyFill="1" applyBorder="1" applyAlignment="1">
      <alignment horizontal="left" vertical="top" wrapText="1"/>
    </xf>
    <xf numFmtId="0" fontId="15" fillId="15" borderId="82" xfId="11" applyFont="1" applyFill="1" applyBorder="1" applyAlignment="1">
      <alignment horizontal="left" vertical="top" wrapText="1"/>
    </xf>
    <xf numFmtId="0" fontId="15" fillId="0" borderId="8" xfId="11" applyFont="1" applyBorder="1" applyAlignment="1">
      <alignment horizontal="left" vertical="top"/>
    </xf>
    <xf numFmtId="0" fontId="15" fillId="0" borderId="81" xfId="11" applyFont="1" applyBorder="1" applyAlignment="1">
      <alignment horizontal="left" vertical="top"/>
    </xf>
    <xf numFmtId="0" fontId="15" fillId="0" borderId="87" xfId="11" applyFont="1" applyBorder="1" applyAlignment="1">
      <alignment horizontal="left" vertical="top"/>
    </xf>
    <xf numFmtId="0" fontId="8" fillId="0" borderId="76" xfId="11" applyFont="1" applyBorder="1" applyAlignment="1">
      <alignment horizontal="center" vertical="center" wrapText="1"/>
    </xf>
    <xf numFmtId="0" fontId="8" fillId="0" borderId="77" xfId="11" applyFont="1" applyBorder="1" applyAlignment="1">
      <alignment horizontal="center" vertical="center" wrapText="1"/>
    </xf>
    <xf numFmtId="0" fontId="8" fillId="0" borderId="84" xfId="11" applyFont="1" applyBorder="1" applyAlignment="1">
      <alignment horizontal="center" vertical="center" wrapText="1"/>
    </xf>
    <xf numFmtId="0" fontId="15" fillId="15" borderId="78" xfId="11" applyFont="1" applyFill="1" applyBorder="1" applyAlignment="1">
      <alignment horizontal="left" vertical="top" wrapText="1"/>
    </xf>
    <xf numFmtId="0" fontId="15" fillId="15" borderId="79" xfId="11" applyFont="1" applyFill="1" applyBorder="1" applyAlignment="1">
      <alignment horizontal="left" vertical="top" wrapText="1"/>
    </xf>
    <xf numFmtId="0" fontId="15" fillId="15" borderId="85" xfId="11" applyFont="1" applyFill="1" applyBorder="1" applyAlignment="1">
      <alignment horizontal="left" vertical="top" wrapText="1"/>
    </xf>
    <xf numFmtId="0" fontId="27" fillId="0" borderId="72" xfId="5" applyFont="1" applyBorder="1" applyAlignment="1">
      <alignment horizontal="left" vertical="top" wrapText="1"/>
    </xf>
    <xf numFmtId="0" fontId="51" fillId="0" borderId="71" xfId="2" applyBorder="1" applyAlignment="1">
      <alignment horizontal="left" vertical="top" wrapText="1"/>
    </xf>
    <xf numFmtId="0" fontId="51" fillId="0" borderId="69" xfId="2" applyBorder="1" applyAlignment="1">
      <alignment horizontal="left" vertical="top" wrapText="1"/>
    </xf>
    <xf numFmtId="0" fontId="8" fillId="0" borderId="10" xfId="5" applyFont="1" applyBorder="1" applyAlignment="1">
      <alignment horizontal="center" vertical="center"/>
    </xf>
    <xf numFmtId="0" fontId="8" fillId="0" borderId="11" xfId="5" applyFont="1" applyBorder="1" applyAlignment="1">
      <alignment horizontal="center" vertical="center"/>
    </xf>
    <xf numFmtId="0" fontId="8" fillId="0" borderId="26" xfId="5" applyFont="1" applyBorder="1" applyAlignment="1">
      <alignment horizontal="center" vertical="center"/>
    </xf>
    <xf numFmtId="0" fontId="8" fillId="0" borderId="12" xfId="5" applyFont="1" applyBorder="1" applyAlignment="1">
      <alignment horizontal="center" vertical="center"/>
    </xf>
    <xf numFmtId="0" fontId="8" fillId="0" borderId="13" xfId="5" applyFont="1" applyBorder="1" applyAlignment="1">
      <alignment horizontal="center" vertical="center"/>
    </xf>
    <xf numFmtId="0" fontId="8" fillId="0" borderId="27" xfId="5" applyFont="1" applyBorder="1" applyAlignment="1">
      <alignment horizontal="center" vertical="center"/>
    </xf>
    <xf numFmtId="0" fontId="9" fillId="14" borderId="0" xfId="5" applyFill="1"/>
    <xf numFmtId="0" fontId="0" fillId="14" borderId="0" xfId="0" applyFill="1"/>
    <xf numFmtId="0" fontId="8" fillId="14" borderId="0" xfId="5" applyFont="1" applyFill="1" applyAlignment="1">
      <alignment horizontal="center"/>
    </xf>
    <xf numFmtId="0" fontId="26" fillId="14" borderId="0" xfId="0" applyFont="1" applyFill="1" applyAlignment="1">
      <alignment horizontal="center"/>
    </xf>
    <xf numFmtId="0" fontId="18" fillId="15" borderId="45" xfId="13" applyFont="1" applyFill="1" applyBorder="1" applyAlignment="1" applyProtection="1">
      <alignment horizontal="center" vertical="center"/>
      <protection locked="0"/>
    </xf>
    <xf numFmtId="0" fontId="18" fillId="15" borderId="46" xfId="13" applyFont="1" applyFill="1" applyBorder="1" applyAlignment="1" applyProtection="1">
      <alignment horizontal="center" vertical="center"/>
      <protection locked="0"/>
    </xf>
    <xf numFmtId="0" fontId="18" fillId="15" borderId="50" xfId="13" applyFont="1" applyFill="1" applyBorder="1" applyAlignment="1" applyProtection="1">
      <alignment horizontal="center" vertical="center"/>
      <protection locked="0"/>
    </xf>
    <xf numFmtId="49" fontId="20" fillId="16" borderId="49" xfId="5" applyNumberFormat="1" applyFont="1" applyFill="1" applyBorder="1" applyAlignment="1">
      <alignment horizontal="left" vertical="center" wrapText="1"/>
    </xf>
    <xf numFmtId="49" fontId="20" fillId="16" borderId="5" xfId="5" applyNumberFormat="1" applyFont="1" applyFill="1" applyBorder="1" applyAlignment="1">
      <alignment horizontal="left" vertical="center" wrapText="1"/>
    </xf>
    <xf numFmtId="49" fontId="22" fillId="16" borderId="5" xfId="5" applyNumberFormat="1" applyFont="1" applyFill="1" applyBorder="1" applyAlignment="1">
      <alignment horizontal="left" vertical="center" wrapText="1"/>
    </xf>
    <xf numFmtId="49" fontId="22" fillId="16" borderId="39" xfId="5" applyNumberFormat="1" applyFont="1" applyFill="1" applyBorder="1" applyAlignment="1">
      <alignment horizontal="center" vertical="center" wrapText="1"/>
    </xf>
    <xf numFmtId="49" fontId="19" fillId="17" borderId="5" xfId="5" applyNumberFormat="1" applyFont="1" applyFill="1" applyBorder="1" applyAlignment="1">
      <alignment horizontal="left" vertical="center"/>
    </xf>
    <xf numFmtId="49" fontId="19" fillId="17" borderId="5" xfId="5" applyNumberFormat="1" applyFont="1" applyFill="1" applyBorder="1" applyAlignment="1">
      <alignment horizontal="left" vertical="center" wrapText="1"/>
    </xf>
    <xf numFmtId="49" fontId="19" fillId="17" borderId="39" xfId="5" applyNumberFormat="1" applyFont="1" applyFill="1" applyBorder="1" applyAlignment="1">
      <alignment horizontal="center" vertical="center" wrapText="1"/>
    </xf>
    <xf numFmtId="49" fontId="25" fillId="16" borderId="5" xfId="5" applyNumberFormat="1" applyFont="1" applyFill="1" applyBorder="1" applyAlignment="1">
      <alignment horizontal="left" vertical="center" wrapText="1"/>
    </xf>
    <xf numFmtId="49" fontId="25" fillId="16" borderId="39" xfId="5" applyNumberFormat="1" applyFont="1" applyFill="1" applyBorder="1" applyAlignment="1">
      <alignment horizontal="center" vertical="center" wrapText="1"/>
    </xf>
    <xf numFmtId="0" fontId="16" fillId="14" borderId="40" xfId="13" applyFont="1" applyFill="1" applyBorder="1" applyAlignment="1" applyProtection="1">
      <alignment horizontal="center" vertical="center"/>
      <protection locked="0"/>
    </xf>
    <xf numFmtId="0" fontId="16" fillId="14" borderId="41" xfId="13" applyFont="1" applyFill="1" applyBorder="1" applyAlignment="1" applyProtection="1">
      <alignment horizontal="center" vertical="center"/>
      <protection locked="0"/>
    </xf>
    <xf numFmtId="0" fontId="16" fillId="14" borderId="55" xfId="13" applyFont="1" applyFill="1" applyBorder="1" applyAlignment="1" applyProtection="1">
      <alignment horizontal="center" vertical="center"/>
      <protection locked="0"/>
    </xf>
    <xf numFmtId="0" fontId="16" fillId="14" borderId="42" xfId="13" applyFont="1" applyFill="1" applyBorder="1" applyAlignment="1" applyProtection="1">
      <alignment horizontal="center" vertical="center"/>
      <protection locked="0"/>
    </xf>
    <xf numFmtId="0" fontId="16" fillId="14" borderId="43" xfId="13" applyFont="1" applyFill="1" applyBorder="1" applyAlignment="1" applyProtection="1">
      <alignment horizontal="center" vertical="center"/>
      <protection locked="0"/>
    </xf>
    <xf numFmtId="0" fontId="16" fillId="14" borderId="56" xfId="13" applyFont="1" applyFill="1" applyBorder="1" applyAlignment="1" applyProtection="1">
      <alignment horizontal="center" vertical="center"/>
      <protection locked="0"/>
    </xf>
    <xf numFmtId="0" fontId="22" fillId="19" borderId="51" xfId="13" applyFont="1" applyFill="1" applyBorder="1" applyAlignment="1">
      <alignment horizontal="center" vertical="center"/>
    </xf>
    <xf numFmtId="0" fontId="19" fillId="15" borderId="57" xfId="13" applyFont="1" applyFill="1" applyBorder="1" applyAlignment="1" applyProtection="1">
      <alignment horizontal="center" vertical="center"/>
      <protection locked="0"/>
    </xf>
    <xf numFmtId="0" fontId="19" fillId="15" borderId="59" xfId="13" applyFont="1" applyFill="1" applyBorder="1" applyAlignment="1" applyProtection="1">
      <alignment horizontal="center" vertical="center"/>
      <protection locked="0"/>
    </xf>
    <xf numFmtId="0" fontId="19" fillId="15" borderId="58" xfId="13" applyFont="1" applyFill="1" applyBorder="1" applyAlignment="1" applyProtection="1">
      <alignment horizontal="center" vertical="center" wrapText="1"/>
      <protection locked="0"/>
    </xf>
    <xf numFmtId="0" fontId="19" fillId="15" borderId="60" xfId="13" applyFont="1" applyFill="1" applyBorder="1" applyAlignment="1" applyProtection="1">
      <alignment horizontal="center" vertical="center" wrapText="1"/>
      <protection locked="0"/>
    </xf>
    <xf numFmtId="0" fontId="10" fillId="5" borderId="21" xfId="11" applyFont="1" applyFill="1" applyBorder="1" applyAlignment="1">
      <alignment horizontal="center" vertical="center"/>
    </xf>
    <xf numFmtId="0" fontId="10" fillId="5" borderId="22" xfId="11" applyFont="1" applyFill="1" applyBorder="1" applyAlignment="1">
      <alignment horizontal="center" vertical="center"/>
    </xf>
    <xf numFmtId="0" fontId="10" fillId="5" borderId="23" xfId="11" applyFont="1" applyFill="1" applyBorder="1" applyAlignment="1">
      <alignment horizontal="center" vertical="center"/>
    </xf>
    <xf numFmtId="0" fontId="10" fillId="5" borderId="16" xfId="11" applyFont="1" applyFill="1" applyBorder="1" applyAlignment="1">
      <alignment horizontal="center" vertical="center"/>
    </xf>
    <xf numFmtId="0" fontId="10" fillId="5" borderId="14" xfId="11" applyFont="1" applyFill="1" applyBorder="1" applyAlignment="1">
      <alignment horizontal="center" vertical="center"/>
    </xf>
    <xf numFmtId="0" fontId="10" fillId="5" borderId="19" xfId="11" applyFont="1" applyFill="1" applyBorder="1" applyAlignment="1">
      <alignment horizontal="center" vertical="center"/>
    </xf>
    <xf numFmtId="0" fontId="10" fillId="5" borderId="24" xfId="11" applyFont="1" applyFill="1" applyBorder="1" applyAlignment="1">
      <alignment horizontal="center" vertical="center"/>
    </xf>
    <xf numFmtId="0" fontId="11" fillId="0" borderId="33" xfId="11" applyFont="1" applyBorder="1" applyAlignment="1" applyProtection="1">
      <alignment horizontal="center" vertical="center" textRotation="90" wrapText="1"/>
      <protection locked="0"/>
    </xf>
    <xf numFmtId="0" fontId="11" fillId="0" borderId="36" xfId="11" applyFont="1" applyBorder="1" applyAlignment="1" applyProtection="1">
      <alignment horizontal="center" vertical="center" textRotation="90" wrapText="1"/>
      <protection locked="0"/>
    </xf>
    <xf numFmtId="0" fontId="8" fillId="0" borderId="10" xfId="11" applyFont="1" applyBorder="1" applyAlignment="1">
      <alignment horizontal="center" vertical="center"/>
    </xf>
    <xf numFmtId="0" fontId="8" fillId="0" borderId="11" xfId="11" applyFont="1" applyBorder="1" applyAlignment="1">
      <alignment horizontal="center" vertical="center"/>
    </xf>
    <xf numFmtId="0" fontId="8" fillId="0" borderId="26" xfId="11" applyFont="1" applyBorder="1" applyAlignment="1">
      <alignment horizontal="center" vertical="center"/>
    </xf>
    <xf numFmtId="0" fontId="8" fillId="0" borderId="12" xfId="11" applyFont="1" applyBorder="1" applyAlignment="1">
      <alignment horizontal="center" vertical="center"/>
    </xf>
    <xf numFmtId="0" fontId="8" fillId="0" borderId="13" xfId="11" applyFont="1" applyBorder="1" applyAlignment="1">
      <alignment horizontal="center" vertical="center"/>
    </xf>
    <xf numFmtId="0" fontId="8" fillId="0" borderId="27" xfId="11" applyFont="1" applyBorder="1" applyAlignment="1">
      <alignment horizontal="center" vertical="center"/>
    </xf>
    <xf numFmtId="0" fontId="7" fillId="12" borderId="34" xfId="11" applyFill="1" applyBorder="1" applyAlignment="1">
      <alignment horizontal="center" wrapText="1"/>
    </xf>
    <xf numFmtId="0" fontId="7" fillId="12" borderId="35" xfId="11" applyFill="1" applyBorder="1" applyAlignment="1">
      <alignment horizontal="center" wrapText="1"/>
    </xf>
    <xf numFmtId="0" fontId="3" fillId="0" borderId="3"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center"/>
    </xf>
    <xf numFmtId="0" fontId="3" fillId="0" borderId="5" xfId="0" applyFont="1" applyBorder="1" applyAlignment="1">
      <alignment horizontal="center"/>
    </xf>
  </cellXfs>
  <cellStyles count="14">
    <cellStyle name="Normal 2" xfId="2" xr:uid="{00000000-0005-0000-0000-000031000000}"/>
    <cellStyle name="Normal 3" xfId="3" xr:uid="{00000000-0005-0000-0000-000032000000}"/>
    <cellStyle name="Normal 4" xfId="4" xr:uid="{00000000-0005-0000-0000-000033000000}"/>
    <cellStyle name="Standard 2" xfId="5" xr:uid="{00000000-0005-0000-0000-000034000000}"/>
    <cellStyle name="Standard 2 2" xfId="6" xr:uid="{00000000-0005-0000-0000-000035000000}"/>
    <cellStyle name="Standard 2 3" xfId="7" xr:uid="{00000000-0005-0000-0000-000036000000}"/>
    <cellStyle name="Standard 3" xfId="8" xr:uid="{00000000-0005-0000-0000-000037000000}"/>
    <cellStyle name="Standard 3 2" xfId="9" xr:uid="{00000000-0005-0000-0000-000038000000}"/>
    <cellStyle name="Standard 3 6" xfId="10" xr:uid="{00000000-0005-0000-0000-000039000000}"/>
    <cellStyle name="Standard 4" xfId="11" xr:uid="{00000000-0005-0000-0000-00003A000000}"/>
    <cellStyle name="Standard 6" xfId="12" xr:uid="{00000000-0005-0000-0000-00003B000000}"/>
    <cellStyle name="Standard 9" xfId="13" xr:uid="{00000000-0005-0000-0000-00003C000000}"/>
    <cellStyle name="常规" xfId="0" builtinId="0"/>
    <cellStyle name="超链接" xfId="1" builtinId="8"/>
  </cellStyles>
  <dxfs count="26">
    <dxf>
      <fill>
        <patternFill patternType="solid">
          <bgColor indexed="51"/>
        </patternFill>
      </fill>
    </dxf>
    <dxf>
      <fill>
        <patternFill patternType="solid">
          <bgColor indexed="42"/>
        </patternFill>
      </fill>
    </dxf>
    <dxf>
      <font>
        <color indexed="9"/>
      </font>
      <fill>
        <patternFill patternType="solid">
          <bgColor indexed="10"/>
        </patternFill>
      </fill>
    </dxf>
    <dxf>
      <fill>
        <patternFill patternType="solid">
          <bgColor indexed="51"/>
        </patternFill>
      </fill>
    </dxf>
    <dxf>
      <font>
        <color indexed="9"/>
      </font>
      <fill>
        <patternFill patternType="solid">
          <bgColor indexed="10"/>
        </patternFill>
      </fill>
    </dxf>
    <dxf>
      <fill>
        <patternFill patternType="solid">
          <bgColor indexed="42"/>
        </patternFill>
      </fill>
    </dxf>
    <dxf>
      <fill>
        <patternFill patternType="solid">
          <bgColor rgb="FF66FF33"/>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3399"/>
        </patternFill>
      </fill>
    </dxf>
    <dxf>
      <fill>
        <patternFill patternType="solid">
          <bgColor rgb="FF66FF33"/>
        </patternFill>
      </fill>
    </dxf>
    <dxf>
      <fill>
        <patternFill patternType="solid">
          <bgColor rgb="FFFFFF00"/>
        </patternFill>
      </fill>
    </dxf>
    <dxf>
      <fill>
        <patternFill patternType="solid">
          <bgColor rgb="FFFFC000"/>
        </patternFill>
      </fill>
    </dxf>
    <dxf>
      <fill>
        <patternFill patternType="solid">
          <bgColor rgb="FFFF0000"/>
        </patternFill>
      </fill>
    </dxf>
    <dxf>
      <fill>
        <patternFill patternType="solid">
          <bgColor rgb="FFFF3399"/>
        </patternFill>
      </fill>
    </dxf>
    <dxf>
      <fill>
        <patternFill patternType="solid">
          <bgColor theme="6"/>
        </patternFill>
      </fill>
    </dxf>
    <dxf>
      <fill>
        <patternFill patternType="solid">
          <bgColor theme="5"/>
        </patternFill>
      </fill>
    </dxf>
    <dxf>
      <fill>
        <patternFill patternType="solid">
          <bgColor theme="0"/>
        </patternFill>
      </fill>
    </dxf>
    <dxf>
      <fill>
        <patternFill patternType="solid">
          <bgColor theme="4"/>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006100"/>
      </font>
      <fill>
        <patternFill patternType="solid">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18">
    <open main="331" threadCnt="1"/>
    <sheetInfos>
      <sheetInfo cellCmpFml="0" sheetStid="17">
        <open main="2" threadCnt="1"/>
      </sheetInfo>
      <sheetInfo cellCmpFml="0" sheetStid="27">
        <open threadCnt="1"/>
      </sheetInfo>
      <sheetInfo cellCmpFml="2" sheetStid="4">
        <open main="2" threadCnt="1"/>
      </sheetInfo>
      <sheetInfo cellCmpFml="0" sheetStid="18">
        <open threadCnt="1"/>
      </sheetInfo>
      <sheetInfo cellCmpFml="2" sheetStid="22">
        <open main="86" threadCnt="1"/>
      </sheetInfo>
      <sheetInfo cellCmpFml="0" sheetStid="20">
        <open main="1" threadCnt="1"/>
      </sheetInfo>
      <sheetInfo cellCmpFml="0" sheetStid="12">
        <open threadCnt="1"/>
      </sheetInfo>
      <sheetInfo cellCmpFml="0" sheetStid="25">
        <open main="1" threadCnt="1"/>
      </sheetInfo>
      <sheetInfo cellCmpFml="0" sheetStid="26">
        <open threadCnt="1"/>
      </sheetInfo>
      <sheetInfo cellCmpFml="0" sheetStid="23">
        <open main="1" threadCnt="1"/>
      </sheetInfo>
      <sheetInfo cellCmpFml="14" sheetStid="11">
        <open main="2" threadCnt="1"/>
      </sheetInfo>
      <sheetInfo cellCmpFml="0" sheetStid="24">
        <open main="3" threadCnt="1"/>
      </sheetInfo>
      <sheetInfo cellCmpFml="0" sheetStid="13">
        <open main="1" threadCnt="1"/>
      </sheetInfo>
      <sheetInfo cellCmpFml="0" sheetStid="8">
        <open threadCnt="1"/>
      </sheetInfo>
      <sheetInfo cellCmpFml="0" sheetStid="29">
        <open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www.wps.cn/officeDocument/2023/relationships/woinfos" Target="woinfos.xml"/><Relationship Id="rId5" Type="http://schemas.openxmlformats.org/officeDocument/2006/relationships/worksheet" Target="worksheets/sheet5.xml"/><Relationship Id="rId15" Type="http://schemas.openxmlformats.org/officeDocument/2006/relationships/worksheet" Target="worksheets/sheet15.xml"/><Relationship Id="rId23" Type="http://www.wps.cn/officeDocument/2023/relationships/customStorage" Target="customStorage/customStorage.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2.xml.rels><?xml version="1.0" encoding="UTF-8" standalone="yes"?>
<Relationships xmlns="http://schemas.openxmlformats.org/package/2006/relationships"><Relationship Id="rId2" Type="http://schemas.openxmlformats.org/officeDocument/2006/relationships/hyperlink" Target="https://de.statista.com/infografik/2718/anteil-angeschnallter-personen-im-strassenverkehr-2013/" TargetMode="External"/><Relationship Id="rId1" Type="http://schemas.openxmlformats.org/officeDocument/2006/relationships/hyperlink" Target="https://de.statista.com/infografik/2718/anteil-angeschnallter-personen-im-strassenverkehr-2013/Annahme:%20gleiches%20Verhalten%20wie%20auf%20den%20Vordersitz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I127"/>
  <sheetViews>
    <sheetView showGridLines="0" topLeftCell="A22" zoomScale="115" zoomScaleNormal="115" zoomScalePageLayoutView="90" workbookViewId="0">
      <selection activeCell="B14" sqref="B14:F14"/>
    </sheetView>
  </sheetViews>
  <sheetFormatPr defaultColWidth="11.4140625" defaultRowHeight="12.5"/>
  <cols>
    <col min="1" max="1" width="1.4140625" style="250" customWidth="1"/>
    <col min="2" max="2" width="28.4140625" style="311" customWidth="1"/>
    <col min="3" max="5" width="28.4140625" style="250" customWidth="1"/>
    <col min="6" max="6" width="49.83203125" style="250" customWidth="1"/>
    <col min="7" max="7" width="23" style="250" customWidth="1"/>
    <col min="8" max="8" width="42.25" style="250" customWidth="1"/>
    <col min="9" max="9" width="18.25" style="250" customWidth="1"/>
    <col min="10" max="10" width="18.75" style="250" customWidth="1"/>
    <col min="11" max="16384" width="11.4140625" style="250"/>
  </cols>
  <sheetData>
    <row r="1" spans="1:9">
      <c r="A1" s="312"/>
      <c r="B1" s="312"/>
      <c r="C1" s="312"/>
      <c r="D1" s="312"/>
      <c r="E1" s="312"/>
      <c r="F1" s="312"/>
      <c r="G1" s="312"/>
      <c r="H1" s="312"/>
      <c r="I1" s="312"/>
    </row>
    <row r="2" spans="1:9" ht="73.5" customHeight="1">
      <c r="A2" s="312"/>
      <c r="B2" s="363" t="s">
        <v>0</v>
      </c>
      <c r="C2" s="364"/>
      <c r="D2" s="364"/>
      <c r="E2" s="364"/>
      <c r="F2" s="365"/>
      <c r="G2" s="312"/>
      <c r="H2" s="312"/>
      <c r="I2" s="312"/>
    </row>
    <row r="3" spans="1:9" ht="12.75" customHeight="1">
      <c r="A3" s="312"/>
      <c r="B3" s="313"/>
      <c r="C3" s="366"/>
      <c r="D3" s="366"/>
      <c r="E3" s="366"/>
      <c r="F3" s="367"/>
      <c r="G3" s="312"/>
      <c r="H3" s="312"/>
      <c r="I3" s="312"/>
    </row>
    <row r="4" spans="1:9" s="309" customFormat="1" ht="28.5" customHeight="1">
      <c r="A4" s="312"/>
      <c r="B4" s="314" t="s">
        <v>1</v>
      </c>
      <c r="C4" s="315"/>
      <c r="D4" s="316"/>
      <c r="E4" s="329" t="s">
        <v>2</v>
      </c>
      <c r="F4" s="330"/>
      <c r="G4" s="312"/>
      <c r="H4" s="312"/>
      <c r="I4" s="312"/>
    </row>
    <row r="5" spans="1:9" s="309" customFormat="1" ht="12.75" customHeight="1">
      <c r="A5" s="312"/>
      <c r="B5" s="314"/>
      <c r="C5" s="368"/>
      <c r="D5" s="368"/>
      <c r="E5" s="368"/>
      <c r="F5" s="369"/>
      <c r="G5" s="312"/>
      <c r="H5" s="312"/>
      <c r="I5" s="312"/>
    </row>
    <row r="6" spans="1:9" ht="28.75" customHeight="1">
      <c r="A6" s="312"/>
      <c r="B6" s="314" t="s">
        <v>3</v>
      </c>
      <c r="C6" s="315" t="s">
        <v>4</v>
      </c>
      <c r="D6" s="316"/>
      <c r="E6" s="316"/>
      <c r="F6" s="331"/>
      <c r="G6" s="312"/>
      <c r="H6" s="312"/>
      <c r="I6" s="312"/>
    </row>
    <row r="7" spans="1:9" s="309" customFormat="1" ht="12.75" customHeight="1">
      <c r="A7" s="312"/>
      <c r="B7" s="314"/>
      <c r="C7" s="316"/>
      <c r="D7" s="316"/>
      <c r="E7" s="316"/>
      <c r="F7" s="331"/>
      <c r="G7" s="312"/>
      <c r="H7" s="312"/>
      <c r="I7" s="312"/>
    </row>
    <row r="8" spans="1:9" s="309" customFormat="1" ht="54" customHeight="1">
      <c r="A8" s="312"/>
      <c r="B8" s="314" t="s">
        <v>5</v>
      </c>
      <c r="C8" s="370"/>
      <c r="D8" s="371"/>
      <c r="E8" s="371"/>
      <c r="F8" s="372"/>
      <c r="G8" s="312"/>
      <c r="H8" s="312"/>
      <c r="I8" s="312"/>
    </row>
    <row r="9" spans="1:9" s="309" customFormat="1" ht="12.75" customHeight="1">
      <c r="A9" s="312"/>
      <c r="B9" s="314"/>
      <c r="C9" s="373"/>
      <c r="D9" s="373"/>
      <c r="E9" s="373"/>
      <c r="F9" s="374"/>
      <c r="G9" s="312"/>
      <c r="H9" s="312"/>
      <c r="I9" s="312"/>
    </row>
    <row r="10" spans="1:9" ht="12.75" customHeight="1">
      <c r="A10" s="312"/>
      <c r="B10" s="314"/>
      <c r="C10" s="318"/>
      <c r="D10" s="317"/>
      <c r="E10" s="317"/>
      <c r="F10" s="332"/>
      <c r="G10" s="312"/>
      <c r="H10" s="312"/>
      <c r="I10" s="312"/>
    </row>
    <row r="11" spans="1:9" ht="12.75" customHeight="1">
      <c r="A11" s="312"/>
      <c r="B11" s="314" t="s">
        <v>6</v>
      </c>
      <c r="C11" s="319"/>
      <c r="D11" s="317"/>
      <c r="E11" s="317"/>
      <c r="F11" s="332"/>
      <c r="G11" s="312"/>
      <c r="H11" s="312"/>
      <c r="I11" s="312"/>
    </row>
    <row r="12" spans="1:9" ht="12.75" customHeight="1">
      <c r="A12" s="312"/>
      <c r="B12" s="314"/>
      <c r="C12" s="318"/>
      <c r="D12" s="317"/>
      <c r="E12" s="317"/>
      <c r="F12" s="332"/>
      <c r="G12" s="312"/>
      <c r="H12" s="312"/>
      <c r="I12" s="312"/>
    </row>
    <row r="13" spans="1:9" s="309" customFormat="1" ht="12.75" customHeight="1">
      <c r="A13" s="312"/>
      <c r="B13" s="314"/>
      <c r="C13" s="317"/>
      <c r="D13" s="317"/>
      <c r="E13" s="317"/>
      <c r="F13" s="332"/>
      <c r="G13" s="312"/>
      <c r="H13" s="312"/>
      <c r="I13" s="312"/>
    </row>
    <row r="14" spans="1:9" s="309" customFormat="1" ht="18">
      <c r="A14" s="312"/>
      <c r="B14" s="375" t="s">
        <v>7</v>
      </c>
      <c r="C14" s="376"/>
      <c r="D14" s="376"/>
      <c r="E14" s="376"/>
      <c r="F14" s="377"/>
      <c r="G14" s="312"/>
      <c r="H14" s="312"/>
      <c r="I14" s="312"/>
    </row>
    <row r="15" spans="1:9" s="309" customFormat="1" ht="13">
      <c r="A15" s="312"/>
      <c r="B15" s="320" t="s">
        <v>8</v>
      </c>
      <c r="C15" s="320" t="s">
        <v>9</v>
      </c>
      <c r="D15" s="321"/>
      <c r="E15" s="333" t="s">
        <v>10</v>
      </c>
      <c r="F15" s="334"/>
      <c r="G15" s="312"/>
      <c r="H15" s="312"/>
      <c r="I15" s="312"/>
    </row>
    <row r="16" spans="1:9" s="309" customFormat="1" ht="84" customHeight="1">
      <c r="A16" s="312"/>
      <c r="B16" s="322" t="s">
        <v>11</v>
      </c>
      <c r="C16" s="378"/>
      <c r="D16" s="379"/>
      <c r="E16" s="380"/>
      <c r="F16" s="381"/>
      <c r="G16" s="312"/>
      <c r="H16" s="312"/>
      <c r="I16" s="312"/>
    </row>
    <row r="17" spans="1:9" s="309" customFormat="1" ht="84" customHeight="1">
      <c r="A17" s="312"/>
      <c r="B17" s="322" t="s">
        <v>12</v>
      </c>
      <c r="C17" s="378"/>
      <c r="D17" s="379"/>
      <c r="E17" s="380"/>
      <c r="F17" s="381"/>
      <c r="G17" s="312"/>
      <c r="H17" s="312"/>
      <c r="I17" s="312"/>
    </row>
    <row r="18" spans="1:9" s="309" customFormat="1" ht="18">
      <c r="A18" s="312"/>
      <c r="B18" s="382" t="s">
        <v>13</v>
      </c>
      <c r="C18" s="383"/>
      <c r="D18" s="383"/>
      <c r="E18" s="383"/>
      <c r="F18" s="384"/>
      <c r="G18" s="312"/>
      <c r="H18" s="312"/>
      <c r="I18" s="312"/>
    </row>
    <row r="19" spans="1:9" s="309" customFormat="1" ht="13">
      <c r="A19" s="312"/>
      <c r="B19" s="313" t="s">
        <v>8</v>
      </c>
      <c r="C19" s="313" t="s">
        <v>14</v>
      </c>
      <c r="D19" s="323"/>
      <c r="E19" s="335" t="s">
        <v>10</v>
      </c>
      <c r="F19" s="336"/>
      <c r="G19" s="312"/>
      <c r="H19" s="312"/>
      <c r="I19" s="312"/>
    </row>
    <row r="20" spans="1:9" s="309" customFormat="1" ht="84" customHeight="1">
      <c r="A20" s="324"/>
      <c r="B20" s="325" t="s">
        <v>15</v>
      </c>
      <c r="C20" s="385"/>
      <c r="D20" s="385"/>
      <c r="E20" s="386"/>
      <c r="F20" s="387"/>
      <c r="G20" s="312"/>
      <c r="H20" s="312"/>
      <c r="I20" s="312"/>
    </row>
    <row r="21" spans="1:9" s="309" customFormat="1" ht="12.75" customHeight="1">
      <c r="A21" s="312"/>
      <c r="B21" s="314"/>
      <c r="C21" s="388"/>
      <c r="D21" s="388"/>
      <c r="E21" s="388"/>
      <c r="F21" s="389"/>
      <c r="G21" s="312"/>
      <c r="H21" s="312"/>
      <c r="I21" s="312"/>
    </row>
    <row r="22" spans="1:9" s="310" customFormat="1" ht="42.5" customHeight="1">
      <c r="A22" s="312"/>
      <c r="B22" s="314" t="s">
        <v>16</v>
      </c>
      <c r="C22" s="390"/>
      <c r="D22" s="390"/>
      <c r="E22" s="390"/>
      <c r="F22" s="391"/>
      <c r="G22" s="312"/>
      <c r="H22" s="312"/>
      <c r="I22" s="312"/>
    </row>
    <row r="23" spans="1:9" ht="13">
      <c r="A23" s="312"/>
      <c r="B23" s="314"/>
      <c r="C23" s="373"/>
      <c r="D23" s="373"/>
      <c r="E23" s="373"/>
      <c r="F23" s="374"/>
      <c r="G23" s="312"/>
      <c r="H23" s="312"/>
      <c r="I23" s="312"/>
    </row>
    <row r="24" spans="1:9" ht="64" customHeight="1">
      <c r="A24" s="312"/>
      <c r="B24" s="314" t="s">
        <v>17</v>
      </c>
      <c r="C24" s="392" t="s">
        <v>18</v>
      </c>
      <c r="D24" s="393"/>
      <c r="E24" s="393"/>
      <c r="F24" s="394"/>
      <c r="G24" s="312"/>
      <c r="H24" s="312"/>
      <c r="I24" s="312"/>
    </row>
    <row r="25" spans="1:9" ht="84.5" customHeight="1">
      <c r="A25" s="312"/>
      <c r="B25" s="314" t="s">
        <v>19</v>
      </c>
      <c r="C25" s="392" t="s">
        <v>20</v>
      </c>
      <c r="D25" s="393"/>
      <c r="E25" s="393"/>
      <c r="F25" s="394"/>
      <c r="G25" s="312"/>
      <c r="H25" s="312"/>
      <c r="I25" s="312"/>
    </row>
    <row r="26" spans="1:9" ht="55" customHeight="1">
      <c r="A26" s="312"/>
      <c r="B26" s="314" t="s">
        <v>21</v>
      </c>
      <c r="C26" s="392" t="s">
        <v>20</v>
      </c>
      <c r="D26" s="393"/>
      <c r="E26" s="393"/>
      <c r="F26" s="394"/>
      <c r="G26" s="312"/>
      <c r="H26" s="312"/>
      <c r="I26" s="312"/>
    </row>
    <row r="27" spans="1:9" ht="12.75" customHeight="1">
      <c r="A27" s="312"/>
      <c r="B27" s="314"/>
      <c r="C27" s="373"/>
      <c r="D27" s="373"/>
      <c r="E27" s="373"/>
      <c r="F27" s="374"/>
      <c r="G27" s="312"/>
      <c r="H27" s="312"/>
      <c r="I27" s="312"/>
    </row>
    <row r="28" spans="1:9" ht="28.5" customHeight="1">
      <c r="A28" s="312"/>
      <c r="B28" s="314" t="s">
        <v>22</v>
      </c>
      <c r="C28" s="396">
        <v>5.3</v>
      </c>
      <c r="D28" s="396"/>
      <c r="E28" s="396"/>
      <c r="F28" s="397"/>
      <c r="G28" s="312"/>
      <c r="H28" s="312"/>
      <c r="I28" s="312"/>
    </row>
    <row r="29" spans="1:9" ht="13">
      <c r="A29" s="312"/>
      <c r="B29" s="314"/>
      <c r="C29" s="373"/>
      <c r="D29" s="373"/>
      <c r="E29" s="373"/>
      <c r="F29" s="374"/>
      <c r="G29" s="312"/>
      <c r="H29" s="312"/>
      <c r="I29" s="312"/>
    </row>
    <row r="30" spans="1:9" ht="12.5" customHeight="1">
      <c r="A30" s="312"/>
      <c r="B30" s="326"/>
      <c r="C30" s="327"/>
      <c r="D30" s="328"/>
      <c r="E30" s="327"/>
      <c r="F30" s="337"/>
      <c r="G30" s="312"/>
      <c r="H30" s="312"/>
      <c r="I30" s="312"/>
    </row>
    <row r="31" spans="1:9">
      <c r="A31" s="312"/>
      <c r="B31" s="312"/>
      <c r="C31" s="312"/>
      <c r="D31" s="312"/>
      <c r="E31" s="312"/>
      <c r="F31" s="312"/>
      <c r="G31" s="312"/>
      <c r="H31" s="312"/>
      <c r="I31" s="312"/>
    </row>
    <row r="32" spans="1:9" ht="38.25" customHeight="1">
      <c r="A32" s="312"/>
      <c r="B32" s="398"/>
      <c r="C32" s="398"/>
      <c r="D32" s="398"/>
      <c r="E32" s="398"/>
      <c r="F32" s="398"/>
      <c r="G32" s="312"/>
      <c r="H32" s="312"/>
      <c r="I32" s="312"/>
    </row>
    <row r="33" spans="1:9" ht="28.9" customHeight="1">
      <c r="A33" s="312"/>
      <c r="B33" s="395"/>
      <c r="C33" s="395"/>
      <c r="D33" s="395"/>
      <c r="E33" s="395"/>
      <c r="F33" s="395"/>
      <c r="G33" s="312"/>
      <c r="H33" s="312"/>
      <c r="I33" s="312"/>
    </row>
    <row r="34" spans="1:9" ht="40.65" customHeight="1">
      <c r="A34" s="312"/>
      <c r="B34" s="395"/>
      <c r="C34" s="395"/>
      <c r="D34" s="395"/>
      <c r="E34" s="395"/>
      <c r="F34" s="395"/>
      <c r="G34" s="312"/>
      <c r="H34" s="312"/>
      <c r="I34" s="312"/>
    </row>
    <row r="35" spans="1:9" ht="39.65" customHeight="1">
      <c r="A35" s="312"/>
      <c r="B35" s="395"/>
      <c r="C35" s="395"/>
      <c r="D35" s="395"/>
      <c r="E35" s="395"/>
      <c r="F35" s="395"/>
      <c r="G35" s="312"/>
      <c r="H35" s="312"/>
      <c r="I35" s="312"/>
    </row>
    <row r="36" spans="1:9" ht="25.5" customHeight="1">
      <c r="A36" s="312"/>
      <c r="B36" s="395"/>
      <c r="C36" s="395"/>
      <c r="D36" s="395"/>
      <c r="E36" s="395"/>
      <c r="F36" s="395"/>
      <c r="G36" s="312"/>
      <c r="H36" s="312"/>
      <c r="I36" s="312"/>
    </row>
    <row r="37" spans="1:9" ht="14">
      <c r="A37" s="312"/>
      <c r="B37" s="338"/>
      <c r="C37" s="302"/>
      <c r="D37" s="302"/>
      <c r="E37" s="302"/>
      <c r="F37" s="312"/>
      <c r="G37" s="312"/>
      <c r="H37" s="312"/>
      <c r="I37" s="312"/>
    </row>
    <row r="38" spans="1:9" ht="13.25" customHeight="1">
      <c r="A38" s="312"/>
      <c r="B38" s="312"/>
      <c r="C38" s="312"/>
      <c r="D38" s="312"/>
      <c r="E38" s="312"/>
      <c r="F38" s="312"/>
      <c r="G38" s="312"/>
      <c r="H38" s="312"/>
      <c r="I38" s="312"/>
    </row>
    <row r="39" spans="1:9" ht="13.25" customHeight="1">
      <c r="A39" s="312"/>
      <c r="B39" s="312"/>
      <c r="C39" s="312"/>
      <c r="D39" s="312"/>
      <c r="E39" s="312"/>
      <c r="F39" s="312"/>
      <c r="G39" s="312"/>
      <c r="H39" s="312"/>
      <c r="I39" s="312"/>
    </row>
    <row r="40" spans="1:9" ht="13.25" customHeight="1">
      <c r="A40" s="312"/>
      <c r="B40" s="312"/>
      <c r="C40" s="312"/>
      <c r="D40" s="312"/>
      <c r="E40" s="312"/>
      <c r="F40" s="312"/>
      <c r="G40" s="312"/>
      <c r="H40" s="312"/>
      <c r="I40" s="312"/>
    </row>
    <row r="41" spans="1:9" ht="15" customHeight="1">
      <c r="A41" s="312"/>
      <c r="B41" s="312"/>
      <c r="C41" s="312"/>
      <c r="D41" s="312"/>
      <c r="E41" s="312"/>
      <c r="F41" s="312"/>
      <c r="G41" s="312"/>
      <c r="H41" s="312"/>
      <c r="I41" s="312"/>
    </row>
    <row r="42" spans="1:9">
      <c r="A42" s="312"/>
      <c r="B42" s="312"/>
      <c r="C42" s="312"/>
      <c r="D42" s="312"/>
      <c r="E42" s="312"/>
      <c r="F42" s="312"/>
      <c r="G42" s="312"/>
      <c r="H42" s="312"/>
      <c r="I42" s="312"/>
    </row>
    <row r="43" spans="1:9">
      <c r="A43" s="312"/>
      <c r="B43" s="312"/>
      <c r="C43" s="312"/>
      <c r="D43" s="312"/>
      <c r="E43" s="312"/>
      <c r="F43" s="312"/>
      <c r="G43" s="312"/>
      <c r="H43" s="312"/>
      <c r="I43" s="312"/>
    </row>
    <row r="44" spans="1:9">
      <c r="A44" s="312"/>
      <c r="B44" s="312"/>
      <c r="C44" s="312"/>
      <c r="D44" s="312"/>
      <c r="E44" s="312"/>
      <c r="F44" s="312"/>
      <c r="G44" s="312"/>
      <c r="H44" s="312"/>
      <c r="I44" s="312"/>
    </row>
    <row r="45" spans="1:9">
      <c r="A45" s="312"/>
      <c r="B45" s="312"/>
      <c r="C45" s="312"/>
      <c r="D45" s="312"/>
      <c r="E45" s="312"/>
      <c r="F45" s="312"/>
      <c r="G45" s="312"/>
      <c r="H45" s="312"/>
      <c r="I45" s="312"/>
    </row>
    <row r="46" spans="1:9">
      <c r="A46" s="312"/>
      <c r="B46" s="312"/>
      <c r="C46" s="312"/>
      <c r="D46" s="312"/>
      <c r="E46" s="312"/>
      <c r="F46" s="312"/>
      <c r="G46" s="312"/>
      <c r="H46" s="312"/>
      <c r="I46" s="312"/>
    </row>
    <row r="47" spans="1:9">
      <c r="A47" s="312"/>
      <c r="B47" s="312"/>
      <c r="C47" s="312"/>
      <c r="D47" s="312"/>
      <c r="E47" s="312"/>
      <c r="F47" s="312"/>
      <c r="G47" s="312"/>
      <c r="H47" s="312"/>
      <c r="I47" s="312"/>
    </row>
    <row r="48" spans="1:9">
      <c r="A48" s="312"/>
      <c r="B48" s="312"/>
      <c r="C48" s="312"/>
      <c r="D48" s="312"/>
      <c r="E48" s="312"/>
      <c r="F48" s="312"/>
      <c r="G48" s="312"/>
      <c r="H48" s="312"/>
      <c r="I48" s="312"/>
    </row>
    <row r="49" spans="1:9">
      <c r="A49" s="312"/>
      <c r="B49" s="312"/>
      <c r="C49" s="312"/>
      <c r="D49" s="312"/>
      <c r="E49" s="312"/>
      <c r="F49" s="312"/>
      <c r="G49" s="312"/>
      <c r="H49" s="312"/>
      <c r="I49" s="312"/>
    </row>
    <row r="50" spans="1:9">
      <c r="A50" s="312"/>
      <c r="B50" s="312"/>
      <c r="C50" s="312"/>
      <c r="D50" s="312"/>
      <c r="E50" s="312"/>
      <c r="F50" s="312"/>
      <c r="G50" s="312"/>
      <c r="H50" s="312"/>
      <c r="I50" s="312"/>
    </row>
    <row r="51" spans="1:9">
      <c r="A51" s="312"/>
      <c r="B51" s="312"/>
      <c r="C51" s="312"/>
      <c r="D51" s="312"/>
      <c r="E51" s="312"/>
      <c r="F51" s="312"/>
      <c r="G51" s="312"/>
      <c r="H51" s="312"/>
      <c r="I51" s="312"/>
    </row>
    <row r="52" spans="1:9">
      <c r="A52" s="312"/>
      <c r="B52" s="312"/>
      <c r="C52" s="312"/>
      <c r="D52" s="312"/>
      <c r="E52" s="312"/>
      <c r="F52" s="312"/>
      <c r="G52" s="312"/>
      <c r="H52" s="312"/>
      <c r="I52" s="312"/>
    </row>
    <row r="53" spans="1:9">
      <c r="C53" s="237"/>
      <c r="D53" s="237"/>
    </row>
    <row r="54" spans="1:9">
      <c r="C54" s="237"/>
      <c r="D54" s="237"/>
    </row>
    <row r="55" spans="1:9">
      <c r="C55" s="237"/>
      <c r="D55" s="237"/>
    </row>
    <row r="56" spans="1:9">
      <c r="C56" s="237"/>
      <c r="D56" s="237"/>
    </row>
    <row r="57" spans="1:9">
      <c r="C57" s="237"/>
      <c r="D57" s="237"/>
    </row>
    <row r="58" spans="1:9">
      <c r="C58" s="237"/>
      <c r="D58" s="237"/>
    </row>
    <row r="59" spans="1:9">
      <c r="C59" s="237"/>
      <c r="D59" s="237"/>
    </row>
    <row r="60" spans="1:9">
      <c r="C60" s="237"/>
      <c r="D60" s="237"/>
    </row>
    <row r="61" spans="1:9">
      <c r="C61" s="237"/>
      <c r="D61" s="237"/>
    </row>
    <row r="62" spans="1:9">
      <c r="C62" s="237"/>
      <c r="D62" s="237"/>
    </row>
    <row r="63" spans="1:9">
      <c r="C63" s="237"/>
      <c r="D63" s="237"/>
    </row>
    <row r="64" spans="1:9">
      <c r="C64" s="237"/>
      <c r="D64" s="237"/>
    </row>
    <row r="65" spans="3:4">
      <c r="C65" s="237"/>
      <c r="D65" s="237"/>
    </row>
    <row r="66" spans="3:4">
      <c r="C66" s="237"/>
      <c r="D66" s="237"/>
    </row>
    <row r="67" spans="3:4">
      <c r="C67" s="237"/>
      <c r="D67" s="237"/>
    </row>
    <row r="68" spans="3:4">
      <c r="C68" s="237"/>
      <c r="D68" s="237"/>
    </row>
    <row r="69" spans="3:4">
      <c r="C69" s="237"/>
      <c r="D69" s="237"/>
    </row>
    <row r="70" spans="3:4">
      <c r="C70" s="237"/>
      <c r="D70" s="237"/>
    </row>
    <row r="71" spans="3:4">
      <c r="C71" s="237"/>
      <c r="D71" s="237"/>
    </row>
    <row r="72" spans="3:4">
      <c r="C72" s="237"/>
      <c r="D72" s="237"/>
    </row>
    <row r="73" spans="3:4">
      <c r="C73" s="237"/>
      <c r="D73" s="237"/>
    </row>
    <row r="74" spans="3:4">
      <c r="C74" s="237"/>
      <c r="D74" s="237"/>
    </row>
    <row r="75" spans="3:4">
      <c r="C75" s="237"/>
      <c r="D75" s="237"/>
    </row>
    <row r="76" spans="3:4">
      <c r="C76" s="237"/>
      <c r="D76" s="237"/>
    </row>
    <row r="77" spans="3:4">
      <c r="C77" s="237"/>
      <c r="D77" s="237"/>
    </row>
    <row r="78" spans="3:4">
      <c r="C78" s="237"/>
      <c r="D78" s="237"/>
    </row>
    <row r="79" spans="3:4">
      <c r="C79" s="237"/>
      <c r="D79" s="237"/>
    </row>
    <row r="80" spans="3:4">
      <c r="C80" s="237"/>
      <c r="D80" s="237"/>
    </row>
    <row r="81" spans="3:4">
      <c r="C81" s="237"/>
      <c r="D81" s="237"/>
    </row>
    <row r="82" spans="3:4">
      <c r="C82" s="237"/>
      <c r="D82" s="237"/>
    </row>
    <row r="83" spans="3:4">
      <c r="C83" s="237"/>
      <c r="D83" s="237"/>
    </row>
    <row r="84" spans="3:4">
      <c r="C84" s="237"/>
      <c r="D84" s="237"/>
    </row>
    <row r="85" spans="3:4">
      <c r="C85" s="237"/>
      <c r="D85" s="237"/>
    </row>
    <row r="86" spans="3:4">
      <c r="C86" s="237"/>
      <c r="D86" s="237"/>
    </row>
    <row r="87" spans="3:4">
      <c r="C87" s="237"/>
      <c r="D87" s="237"/>
    </row>
    <row r="88" spans="3:4">
      <c r="C88" s="237"/>
      <c r="D88" s="237"/>
    </row>
    <row r="89" spans="3:4">
      <c r="C89" s="237"/>
      <c r="D89" s="237"/>
    </row>
    <row r="90" spans="3:4">
      <c r="C90" s="237"/>
      <c r="D90" s="237"/>
    </row>
    <row r="91" spans="3:4">
      <c r="C91" s="237"/>
      <c r="D91" s="237"/>
    </row>
    <row r="92" spans="3:4">
      <c r="C92" s="237"/>
      <c r="D92" s="237"/>
    </row>
    <row r="93" spans="3:4">
      <c r="C93" s="237"/>
      <c r="D93" s="237"/>
    </row>
    <row r="94" spans="3:4">
      <c r="C94" s="237"/>
      <c r="D94" s="237"/>
    </row>
    <row r="95" spans="3:4">
      <c r="C95" s="237"/>
      <c r="D95" s="237"/>
    </row>
    <row r="96" spans="3:4">
      <c r="C96" s="237"/>
      <c r="D96" s="237"/>
    </row>
    <row r="97" spans="3:4">
      <c r="C97" s="237"/>
      <c r="D97" s="237"/>
    </row>
    <row r="98" spans="3:4">
      <c r="C98" s="237"/>
      <c r="D98" s="237"/>
    </row>
    <row r="99" spans="3:4">
      <c r="C99" s="237"/>
      <c r="D99" s="237"/>
    </row>
    <row r="100" spans="3:4">
      <c r="C100" s="237"/>
      <c r="D100" s="237"/>
    </row>
    <row r="101" spans="3:4">
      <c r="C101" s="237"/>
      <c r="D101" s="237"/>
    </row>
    <row r="102" spans="3:4">
      <c r="C102" s="237"/>
      <c r="D102" s="237"/>
    </row>
    <row r="103" spans="3:4">
      <c r="C103" s="237"/>
      <c r="D103" s="237"/>
    </row>
    <row r="104" spans="3:4">
      <c r="C104" s="237"/>
      <c r="D104" s="237"/>
    </row>
    <row r="105" spans="3:4">
      <c r="C105" s="237"/>
      <c r="D105" s="237"/>
    </row>
    <row r="106" spans="3:4">
      <c r="C106" s="237"/>
      <c r="D106" s="237"/>
    </row>
    <row r="107" spans="3:4">
      <c r="C107" s="237"/>
      <c r="D107" s="237"/>
    </row>
    <row r="108" spans="3:4">
      <c r="C108" s="237"/>
      <c r="D108" s="237"/>
    </row>
    <row r="109" spans="3:4">
      <c r="C109" s="237"/>
      <c r="D109" s="237"/>
    </row>
    <row r="110" spans="3:4">
      <c r="C110" s="237"/>
      <c r="D110" s="237"/>
    </row>
    <row r="111" spans="3:4">
      <c r="C111" s="237"/>
      <c r="D111" s="237"/>
    </row>
    <row r="112" spans="3:4">
      <c r="C112" s="237"/>
      <c r="D112" s="237"/>
    </row>
    <row r="113" spans="3:4">
      <c r="C113" s="237"/>
      <c r="D113" s="237"/>
    </row>
    <row r="114" spans="3:4">
      <c r="C114" s="237"/>
      <c r="D114" s="237"/>
    </row>
    <row r="115" spans="3:4">
      <c r="C115" s="237"/>
      <c r="D115" s="237"/>
    </row>
    <row r="116" spans="3:4">
      <c r="C116" s="237"/>
      <c r="D116" s="237"/>
    </row>
    <row r="117" spans="3:4">
      <c r="C117" s="237"/>
      <c r="D117" s="237"/>
    </row>
    <row r="118" spans="3:4">
      <c r="C118" s="237"/>
      <c r="D118" s="237"/>
    </row>
    <row r="119" spans="3:4">
      <c r="C119" s="237"/>
      <c r="D119" s="237"/>
    </row>
    <row r="120" spans="3:4">
      <c r="C120" s="237"/>
      <c r="D120" s="237"/>
    </row>
    <row r="121" spans="3:4">
      <c r="C121" s="237"/>
      <c r="D121" s="237"/>
    </row>
    <row r="122" spans="3:4">
      <c r="C122" s="237"/>
      <c r="D122" s="237"/>
    </row>
    <row r="123" spans="3:4">
      <c r="C123" s="237"/>
      <c r="D123" s="237"/>
    </row>
    <row r="124" spans="3:4">
      <c r="C124" s="237"/>
      <c r="D124" s="237"/>
    </row>
    <row r="125" spans="3:4">
      <c r="C125" s="237"/>
      <c r="D125" s="237"/>
    </row>
    <row r="126" spans="3:4">
      <c r="C126" s="237"/>
      <c r="D126" s="237"/>
    </row>
    <row r="127" spans="3:4">
      <c r="C127" s="237"/>
      <c r="D127" s="237"/>
    </row>
  </sheetData>
  <sheetProtection formatCells="0" formatColumns="0" formatRows="0" insertColumns="0" insertRows="0" insertHyperlinks="0" deleteColumns="0" deleteRows="0" sort="0" autoFilter="0" pivotTables="0"/>
  <mergeCells count="27">
    <mergeCell ref="B35:F35"/>
    <mergeCell ref="B36:F36"/>
    <mergeCell ref="C28:F28"/>
    <mergeCell ref="C29:F29"/>
    <mergeCell ref="B32:F32"/>
    <mergeCell ref="B33:F33"/>
    <mergeCell ref="B34:F34"/>
    <mergeCell ref="C23:F23"/>
    <mergeCell ref="C24:F24"/>
    <mergeCell ref="C25:F25"/>
    <mergeCell ref="C26:F26"/>
    <mergeCell ref="C27:F27"/>
    <mergeCell ref="B18:F18"/>
    <mergeCell ref="C20:D20"/>
    <mergeCell ref="E20:F20"/>
    <mergeCell ref="C21:F21"/>
    <mergeCell ref="C22:F22"/>
    <mergeCell ref="B14:F14"/>
    <mergeCell ref="C16:D16"/>
    <mergeCell ref="E16:F16"/>
    <mergeCell ref="C17:D17"/>
    <mergeCell ref="E17:F17"/>
    <mergeCell ref="B2:F2"/>
    <mergeCell ref="C3:F3"/>
    <mergeCell ref="C5:F5"/>
    <mergeCell ref="C8:F8"/>
    <mergeCell ref="C9:F9"/>
  </mergeCells>
  <phoneticPr fontId="52" type="noConversion"/>
  <conditionalFormatting sqref="E58:E1048576">
    <cfRule type="cellIs" dxfId="25" priority="2" operator="equal">
      <formula>"verworfen"</formula>
    </cfRule>
    <cfRule type="cellIs" dxfId="24" priority="3" operator="equal">
      <formula>"abgeschlossen"</formula>
    </cfRule>
    <cfRule type="cellIs" dxfId="23" priority="4" operator="equal">
      <formula>"in Bearbeitung"</formula>
    </cfRule>
    <cfRule type="cellIs" dxfId="22" priority="5" operator="equal">
      <formula>"offen"</formula>
    </cfRule>
    <cfRule type="cellIs" dxfId="21" priority="6" operator="equal">
      <formula>"neu"</formula>
    </cfRule>
  </conditionalFormatting>
  <conditionalFormatting sqref="F6">
    <cfRule type="expression" dxfId="20" priority="1">
      <formula>NOT(""=F6)</formula>
    </cfRule>
  </conditionalFormatting>
  <dataValidations count="1">
    <dataValidation type="list" allowBlank="1" showInputMessage="1" showErrorMessage="1" sqref="C6" xr:uid="{00000000-0002-0000-0000-000000000000}">
      <formula1>Status</formula1>
    </dataValidation>
  </dataValidations>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00000"/>
  </sheetPr>
  <dimension ref="A1:G32"/>
  <sheetViews>
    <sheetView topLeftCell="E8" workbookViewId="0">
      <selection activeCell="D18" sqref="D18"/>
    </sheetView>
  </sheetViews>
  <sheetFormatPr defaultColWidth="9" defaultRowHeight="14"/>
  <cols>
    <col min="2" max="2" width="16.6640625" customWidth="1"/>
    <col min="3" max="3" width="29.6640625" customWidth="1"/>
    <col min="4" max="4" width="25.9140625" customWidth="1"/>
    <col min="5" max="5" width="86" style="294" customWidth="1"/>
    <col min="6" max="6" width="61.83203125" style="294" customWidth="1"/>
    <col min="7" max="7" width="40.1640625" customWidth="1"/>
  </cols>
  <sheetData>
    <row r="1" spans="1:7">
      <c r="C1" t="s">
        <v>23</v>
      </c>
    </row>
    <row r="3" spans="1:7" s="293" customFormat="1" ht="15.5">
      <c r="A3" s="295" t="s">
        <v>24</v>
      </c>
      <c r="B3" s="295" t="s">
        <v>25</v>
      </c>
      <c r="C3" s="295" t="s">
        <v>26</v>
      </c>
      <c r="D3" s="295" t="s">
        <v>27</v>
      </c>
      <c r="E3" s="303" t="s">
        <v>28</v>
      </c>
      <c r="F3" s="303" t="s">
        <v>29</v>
      </c>
      <c r="G3" s="295" t="s">
        <v>30</v>
      </c>
    </row>
    <row r="4" spans="1:7" ht="133.4" customHeight="1">
      <c r="A4" s="296">
        <v>1</v>
      </c>
      <c r="B4" s="399" t="s">
        <v>31</v>
      </c>
      <c r="C4" s="297" t="s">
        <v>32</v>
      </c>
      <c r="D4" s="298" t="s">
        <v>33</v>
      </c>
      <c r="E4" s="300" t="s">
        <v>34</v>
      </c>
      <c r="F4" s="300" t="s">
        <v>35</v>
      </c>
      <c r="G4" s="299" t="s">
        <v>36</v>
      </c>
    </row>
    <row r="5" spans="1:7" ht="162.5" customHeight="1">
      <c r="A5" s="296">
        <v>2</v>
      </c>
      <c r="B5" s="400"/>
      <c r="C5" s="299" t="s">
        <v>37</v>
      </c>
      <c r="D5" s="298" t="s">
        <v>38</v>
      </c>
      <c r="E5" s="300" t="s">
        <v>39</v>
      </c>
      <c r="F5" s="300" t="s">
        <v>40</v>
      </c>
      <c r="G5" s="299" t="s">
        <v>41</v>
      </c>
    </row>
    <row r="6" spans="1:7" ht="139.15" customHeight="1">
      <c r="A6" s="296">
        <v>3</v>
      </c>
      <c r="B6" s="400"/>
      <c r="C6" s="299" t="s">
        <v>42</v>
      </c>
      <c r="D6" s="298" t="s">
        <v>43</v>
      </c>
      <c r="E6" s="300" t="s">
        <v>44</v>
      </c>
      <c r="F6" s="300" t="s">
        <v>45</v>
      </c>
      <c r="G6" s="299" t="s">
        <v>46</v>
      </c>
    </row>
    <row r="7" spans="1:7" ht="42">
      <c r="A7" s="296">
        <v>4</v>
      </c>
      <c r="B7" s="400"/>
      <c r="C7" s="298" t="s">
        <v>47</v>
      </c>
      <c r="D7" s="298" t="s">
        <v>48</v>
      </c>
      <c r="E7" s="300" t="s">
        <v>49</v>
      </c>
      <c r="F7" s="300" t="s">
        <v>50</v>
      </c>
      <c r="G7" s="299" t="s">
        <v>51</v>
      </c>
    </row>
    <row r="8" spans="1:7" ht="69.150000000000006" customHeight="1">
      <c r="A8" s="296">
        <v>5</v>
      </c>
      <c r="B8" s="400"/>
      <c r="C8" s="298" t="s">
        <v>52</v>
      </c>
      <c r="D8" s="298" t="s">
        <v>53</v>
      </c>
      <c r="E8" s="300" t="s">
        <v>54</v>
      </c>
      <c r="F8" s="300" t="s">
        <v>55</v>
      </c>
      <c r="G8" s="299" t="s">
        <v>56</v>
      </c>
    </row>
    <row r="9" spans="1:7" ht="142.5" customHeight="1">
      <c r="A9" s="296">
        <v>6</v>
      </c>
      <c r="B9" s="400"/>
      <c r="C9" s="298" t="s">
        <v>57</v>
      </c>
      <c r="D9" s="298" t="s">
        <v>58</v>
      </c>
      <c r="E9" s="304" t="s">
        <v>59</v>
      </c>
      <c r="F9" s="300" t="s">
        <v>60</v>
      </c>
      <c r="G9" s="299" t="s">
        <v>61</v>
      </c>
    </row>
    <row r="10" spans="1:7" ht="139.15" customHeight="1">
      <c r="A10" s="296">
        <v>7</v>
      </c>
      <c r="B10" s="400"/>
      <c r="C10" s="299" t="s">
        <v>62</v>
      </c>
      <c r="D10" s="298" t="s">
        <v>63</v>
      </c>
      <c r="E10" s="304" t="s">
        <v>64</v>
      </c>
      <c r="F10" s="300" t="s">
        <v>65</v>
      </c>
      <c r="G10" s="299" t="s">
        <v>66</v>
      </c>
    </row>
    <row r="11" spans="1:7" ht="75" customHeight="1">
      <c r="A11" s="296">
        <v>8</v>
      </c>
      <c r="B11" s="400"/>
      <c r="C11" s="298" t="s">
        <v>67</v>
      </c>
      <c r="D11" s="298" t="s">
        <v>68</v>
      </c>
      <c r="E11" s="304" t="s">
        <v>69</v>
      </c>
      <c r="F11" s="300" t="s">
        <v>70</v>
      </c>
      <c r="G11" s="299" t="s">
        <v>71</v>
      </c>
    </row>
    <row r="12" spans="1:7" ht="99.4" customHeight="1">
      <c r="A12" s="296">
        <v>9</v>
      </c>
      <c r="B12" s="400"/>
      <c r="C12" s="300" t="s">
        <v>67</v>
      </c>
      <c r="D12" s="298" t="s">
        <v>72</v>
      </c>
      <c r="E12" s="228" t="s">
        <v>73</v>
      </c>
      <c r="F12" s="300" t="s">
        <v>74</v>
      </c>
      <c r="G12" s="299" t="s">
        <v>75</v>
      </c>
    </row>
    <row r="13" spans="1:7" ht="50.65" customHeight="1">
      <c r="A13" s="296">
        <v>10</v>
      </c>
      <c r="B13" s="400"/>
      <c r="C13" s="298" t="s">
        <v>76</v>
      </c>
      <c r="D13" s="298" t="s">
        <v>77</v>
      </c>
      <c r="E13" s="228" t="s">
        <v>78</v>
      </c>
      <c r="F13" s="305" t="s">
        <v>79</v>
      </c>
      <c r="G13" s="299" t="s">
        <v>80</v>
      </c>
    </row>
    <row r="14" spans="1:7" ht="83.5" customHeight="1">
      <c r="A14" s="296">
        <v>11</v>
      </c>
      <c r="B14" s="400"/>
      <c r="C14" s="300" t="s">
        <v>81</v>
      </c>
      <c r="D14" s="298" t="s">
        <v>82</v>
      </c>
      <c r="E14" s="228" t="s">
        <v>83</v>
      </c>
      <c r="F14" s="300" t="s">
        <v>84</v>
      </c>
      <c r="G14" s="299" t="s">
        <v>85</v>
      </c>
    </row>
    <row r="15" spans="1:7" ht="72.25" customHeight="1">
      <c r="A15" s="296">
        <v>12</v>
      </c>
      <c r="B15" s="400"/>
      <c r="C15" s="300" t="s">
        <v>86</v>
      </c>
      <c r="D15" s="298" t="s">
        <v>87</v>
      </c>
      <c r="E15" s="228" t="s">
        <v>88</v>
      </c>
      <c r="F15" s="305" t="s">
        <v>89</v>
      </c>
      <c r="G15" s="299" t="s">
        <v>90</v>
      </c>
    </row>
    <row r="16" spans="1:7" ht="72.25" customHeight="1">
      <c r="A16" s="296">
        <v>13</v>
      </c>
      <c r="B16" s="400"/>
      <c r="C16" s="300" t="s">
        <v>81</v>
      </c>
      <c r="D16" s="298" t="s">
        <v>91</v>
      </c>
      <c r="E16" s="228" t="s">
        <v>92</v>
      </c>
      <c r="F16" s="306" t="s">
        <v>93</v>
      </c>
      <c r="G16" s="299" t="s">
        <v>94</v>
      </c>
    </row>
    <row r="17" spans="1:7" ht="72.25" customHeight="1">
      <c r="A17" s="296">
        <v>14</v>
      </c>
      <c r="B17" s="400"/>
      <c r="C17" s="298" t="s">
        <v>95</v>
      </c>
      <c r="D17" s="298" t="s">
        <v>96</v>
      </c>
      <c r="E17" s="228" t="s">
        <v>97</v>
      </c>
      <c r="F17" s="305" t="s">
        <v>98</v>
      </c>
      <c r="G17" s="299" t="s">
        <v>99</v>
      </c>
    </row>
    <row r="18" spans="1:7" ht="121.9" customHeight="1">
      <c r="A18" s="296">
        <v>15</v>
      </c>
      <c r="B18" s="400"/>
      <c r="C18" s="300" t="s">
        <v>100</v>
      </c>
      <c r="D18" s="298" t="s">
        <v>101</v>
      </c>
      <c r="E18" s="228" t="s">
        <v>102</v>
      </c>
      <c r="F18" s="300" t="s">
        <v>103</v>
      </c>
      <c r="G18" s="299" t="s">
        <v>104</v>
      </c>
    </row>
    <row r="19" spans="1:7" ht="93.75" customHeight="1">
      <c r="A19" s="296">
        <v>16</v>
      </c>
      <c r="B19" s="400"/>
      <c r="C19" s="300" t="s">
        <v>105</v>
      </c>
      <c r="D19" s="298" t="s">
        <v>106</v>
      </c>
      <c r="E19" s="300" t="s">
        <v>107</v>
      </c>
      <c r="F19" s="300" t="s">
        <v>108</v>
      </c>
      <c r="G19" s="299" t="s">
        <v>109</v>
      </c>
    </row>
    <row r="20" spans="1:7" ht="93.75" customHeight="1">
      <c r="A20" s="296">
        <v>17</v>
      </c>
      <c r="B20" s="401"/>
      <c r="C20" s="301" t="s">
        <v>110</v>
      </c>
      <c r="D20" s="298" t="s">
        <v>111</v>
      </c>
      <c r="E20" s="307" t="s">
        <v>112</v>
      </c>
      <c r="F20" s="300" t="s">
        <v>113</v>
      </c>
      <c r="G20" s="299" t="s">
        <v>114</v>
      </c>
    </row>
    <row r="21" spans="1:7">
      <c r="A21" s="302"/>
      <c r="B21" s="302"/>
      <c r="C21" s="302"/>
      <c r="D21" s="302"/>
      <c r="E21" s="308"/>
      <c r="F21" s="308"/>
      <c r="G21" s="302"/>
    </row>
    <row r="22" spans="1:7">
      <c r="A22" s="302"/>
      <c r="B22" s="302"/>
      <c r="C22" s="302"/>
      <c r="D22" s="302"/>
      <c r="E22" s="308"/>
      <c r="F22" s="308"/>
      <c r="G22" s="302"/>
    </row>
    <row r="23" spans="1:7">
      <c r="A23" s="302"/>
      <c r="B23" s="302"/>
      <c r="C23" s="302"/>
      <c r="D23" s="302"/>
      <c r="E23" s="308"/>
      <c r="F23" s="308"/>
      <c r="G23" s="302"/>
    </row>
    <row r="24" spans="1:7">
      <c r="A24" s="302"/>
      <c r="B24" s="302"/>
      <c r="C24" s="302"/>
      <c r="D24" s="302"/>
      <c r="E24" s="308"/>
      <c r="F24" s="308"/>
      <c r="G24" s="302"/>
    </row>
    <row r="25" spans="1:7">
      <c r="A25" s="302"/>
      <c r="B25" s="302"/>
      <c r="C25" s="302"/>
      <c r="D25" s="302"/>
      <c r="E25" s="308"/>
      <c r="F25" s="308"/>
      <c r="G25" s="302"/>
    </row>
    <row r="26" spans="1:7">
      <c r="A26" s="302"/>
      <c r="B26" s="302"/>
      <c r="C26" s="302"/>
      <c r="D26" s="302"/>
      <c r="E26" s="308"/>
      <c r="F26" s="308"/>
      <c r="G26" s="302"/>
    </row>
    <row r="27" spans="1:7">
      <c r="A27" s="302"/>
      <c r="B27" s="302"/>
      <c r="C27" s="302"/>
      <c r="D27" s="302"/>
      <c r="E27" s="308"/>
      <c r="F27" s="308"/>
      <c r="G27" s="302"/>
    </row>
    <row r="28" spans="1:7">
      <c r="A28" s="302"/>
      <c r="B28" s="302"/>
      <c r="C28" s="302"/>
      <c r="D28" s="302"/>
      <c r="E28" s="308"/>
      <c r="F28" s="308"/>
      <c r="G28" s="302"/>
    </row>
    <row r="29" spans="1:7">
      <c r="A29" s="302"/>
      <c r="B29" s="302"/>
      <c r="C29" s="302"/>
      <c r="D29" s="302"/>
      <c r="E29" s="308"/>
      <c r="F29" s="308"/>
      <c r="G29" s="302"/>
    </row>
    <row r="30" spans="1:7">
      <c r="A30" s="302"/>
      <c r="B30" s="302"/>
      <c r="C30" s="302"/>
      <c r="D30" s="302"/>
      <c r="E30" s="308"/>
      <c r="F30" s="308"/>
      <c r="G30" s="302"/>
    </row>
    <row r="31" spans="1:7">
      <c r="A31" s="302"/>
      <c r="B31" s="302"/>
      <c r="C31" s="302"/>
      <c r="D31" s="302"/>
      <c r="E31" s="308"/>
      <c r="F31" s="308"/>
      <c r="G31" s="302"/>
    </row>
    <row r="32" spans="1:7">
      <c r="A32" s="302"/>
      <c r="B32" s="302"/>
      <c r="C32" s="302"/>
      <c r="D32" s="302"/>
      <c r="E32" s="308"/>
      <c r="F32" s="308"/>
      <c r="G32" s="302"/>
    </row>
  </sheetData>
  <sheetProtection formatCells="0" formatColumns="0" formatRows="0" insertColumns="0" insertRows="0" insertHyperlinks="0" deleteColumns="0" deleteRows="0" sort="0" autoFilter="0" pivotTables="0"/>
  <mergeCells count="1">
    <mergeCell ref="B4:B20"/>
  </mergeCells>
  <phoneticPr fontId="52" type="noConversion"/>
  <pageMargins left="0.7" right="0.7" top="0.75" bottom="0.75" header="0.3" footer="0.3"/>
  <headerFooter>
    <oddHeader>&amp;L&amp;"Calibri"&amp;10&amp;K000000 INTERNAL&amp;1#_x000D_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00000"/>
  </sheetPr>
  <dimension ref="B2:O323"/>
  <sheetViews>
    <sheetView zoomScalePageLayoutView="80" workbookViewId="0">
      <selection activeCell="F31" sqref="F31"/>
    </sheetView>
  </sheetViews>
  <sheetFormatPr defaultColWidth="11.4140625" defaultRowHeight="14"/>
  <cols>
    <col min="1" max="1" width="11.4140625" style="252" customWidth="1"/>
    <col min="2" max="2" width="4.4140625" style="252" customWidth="1"/>
    <col min="3" max="3" width="22.25" style="252" customWidth="1"/>
    <col min="4" max="4" width="29.1640625" style="252" customWidth="1"/>
    <col min="5" max="5" width="23.75" style="252" hidden="1" customWidth="1"/>
    <col min="6" max="12" width="14.75" style="252" customWidth="1"/>
    <col min="13" max="13" width="15.4140625" style="252" customWidth="1"/>
    <col min="14" max="14" width="23.75" style="252" hidden="1" customWidth="1"/>
    <col min="15" max="15" width="14.75" style="252" customWidth="1"/>
    <col min="16" max="16384" width="11.4140625" style="252"/>
  </cols>
  <sheetData>
    <row r="2" spans="2:13" s="251" customFormat="1" ht="24.75" customHeight="1">
      <c r="B2" s="402" t="s">
        <v>115</v>
      </c>
      <c r="C2" s="403"/>
      <c r="D2" s="403"/>
      <c r="E2" s="403"/>
      <c r="F2" s="403"/>
      <c r="G2" s="403"/>
      <c r="H2" s="403"/>
      <c r="I2" s="403"/>
      <c r="J2" s="403"/>
      <c r="K2" s="403"/>
      <c r="L2" s="403"/>
      <c r="M2" s="404"/>
    </row>
    <row r="3" spans="2:13" ht="15" customHeight="1">
      <c r="B3" s="253" t="s">
        <v>116</v>
      </c>
      <c r="C3" s="254" t="s">
        <v>117</v>
      </c>
      <c r="D3" s="254" t="s">
        <v>118</v>
      </c>
      <c r="E3" s="254" t="s">
        <v>119</v>
      </c>
      <c r="F3" s="254" t="s">
        <v>120</v>
      </c>
      <c r="G3" s="405" t="s">
        <v>121</v>
      </c>
      <c r="H3" s="405"/>
      <c r="I3" s="405"/>
      <c r="J3" s="405"/>
      <c r="K3" s="405"/>
      <c r="L3" s="405"/>
      <c r="M3" s="280" t="s">
        <v>122</v>
      </c>
    </row>
    <row r="4" spans="2:13" ht="15" customHeight="1">
      <c r="B4" s="255"/>
      <c r="C4" s="256"/>
      <c r="D4" s="257"/>
      <c r="E4" s="269">
        <f>_xlfn.NUMBERVALUE(F4,".")</f>
        <v>0</v>
      </c>
      <c r="F4" s="270"/>
      <c r="G4" s="406"/>
      <c r="H4" s="406"/>
      <c r="I4" s="406"/>
      <c r="J4" s="406"/>
      <c r="K4" s="406"/>
      <c r="L4" s="406"/>
      <c r="M4" s="281"/>
    </row>
    <row r="5" spans="2:13" ht="15" customHeight="1">
      <c r="B5" s="255"/>
      <c r="C5" s="256"/>
      <c r="D5" s="257"/>
      <c r="E5" s="269"/>
      <c r="F5" s="270"/>
      <c r="G5" s="406"/>
      <c r="H5" s="406"/>
      <c r="I5" s="406"/>
      <c r="J5" s="406"/>
      <c r="K5" s="406"/>
      <c r="L5" s="406"/>
      <c r="M5" s="281"/>
    </row>
    <row r="6" spans="2:13" ht="15" customHeight="1">
      <c r="B6" s="255"/>
      <c r="C6" s="256"/>
      <c r="D6" s="257"/>
      <c r="E6" s="269"/>
      <c r="F6" s="270"/>
      <c r="G6" s="406"/>
      <c r="H6" s="406"/>
      <c r="I6" s="406"/>
      <c r="J6" s="406"/>
      <c r="K6" s="406"/>
      <c r="L6" s="406"/>
      <c r="M6" s="281"/>
    </row>
    <row r="7" spans="2:13" ht="15" customHeight="1">
      <c r="B7" s="255"/>
      <c r="C7" s="256"/>
      <c r="D7" s="257"/>
      <c r="E7" s="269"/>
      <c r="F7" s="270"/>
      <c r="G7" s="406"/>
      <c r="H7" s="406"/>
      <c r="I7" s="406"/>
      <c r="J7" s="406"/>
      <c r="K7" s="406"/>
      <c r="L7" s="406"/>
      <c r="M7" s="281"/>
    </row>
    <row r="8" spans="2:13" ht="15" customHeight="1">
      <c r="B8" s="255"/>
      <c r="C8" s="258"/>
      <c r="D8" s="257"/>
      <c r="E8" s="269"/>
      <c r="F8" s="270"/>
      <c r="G8" s="406"/>
      <c r="H8" s="406"/>
      <c r="I8" s="406"/>
      <c r="J8" s="406"/>
      <c r="K8" s="406"/>
      <c r="L8" s="406"/>
      <c r="M8" s="281"/>
    </row>
    <row r="9" spans="2:13" ht="15" customHeight="1">
      <c r="B9" s="255"/>
      <c r="C9" s="256"/>
      <c r="D9" s="257"/>
      <c r="E9" s="269"/>
      <c r="F9" s="270"/>
      <c r="G9" s="406"/>
      <c r="H9" s="406"/>
      <c r="I9" s="406"/>
      <c r="J9" s="406"/>
      <c r="K9" s="406"/>
      <c r="L9" s="406"/>
      <c r="M9" s="281"/>
    </row>
    <row r="10" spans="2:13" ht="15.5">
      <c r="B10" s="255"/>
      <c r="C10" s="256"/>
      <c r="D10" s="257"/>
      <c r="E10" s="269"/>
      <c r="F10" s="270"/>
      <c r="G10" s="406"/>
      <c r="H10" s="406"/>
      <c r="I10" s="406"/>
      <c r="J10" s="406"/>
      <c r="K10" s="406"/>
      <c r="L10" s="406"/>
      <c r="M10" s="281"/>
    </row>
    <row r="11" spans="2:13" ht="15" customHeight="1">
      <c r="B11" s="255"/>
      <c r="C11" s="256"/>
      <c r="D11" s="257"/>
      <c r="E11" s="269">
        <f t="shared" ref="E11:E25" si="0">_xlfn.NUMBERVALUE(F11,".")</f>
        <v>0</v>
      </c>
      <c r="F11" s="270"/>
      <c r="G11" s="406"/>
      <c r="H11" s="406"/>
      <c r="I11" s="406"/>
      <c r="J11" s="406"/>
      <c r="K11" s="406"/>
      <c r="L11" s="406"/>
      <c r="M11" s="281"/>
    </row>
    <row r="12" spans="2:13" ht="15" customHeight="1">
      <c r="B12" s="255"/>
      <c r="C12" s="256"/>
      <c r="D12" s="257"/>
      <c r="E12" s="269">
        <f t="shared" si="0"/>
        <v>0</v>
      </c>
      <c r="F12" s="270"/>
      <c r="G12" s="406"/>
      <c r="H12" s="406"/>
      <c r="I12" s="406"/>
      <c r="J12" s="406"/>
      <c r="K12" s="406"/>
      <c r="L12" s="406"/>
      <c r="M12" s="281"/>
    </row>
    <row r="13" spans="2:13" ht="15" customHeight="1">
      <c r="B13" s="255"/>
      <c r="C13" s="256"/>
      <c r="D13" s="257"/>
      <c r="E13" s="269">
        <f t="shared" si="0"/>
        <v>0</v>
      </c>
      <c r="F13" s="270"/>
      <c r="G13" s="406"/>
      <c r="H13" s="406"/>
      <c r="I13" s="406"/>
      <c r="J13" s="406"/>
      <c r="K13" s="406"/>
      <c r="L13" s="406"/>
      <c r="M13" s="281"/>
    </row>
    <row r="14" spans="2:13" ht="15" customHeight="1">
      <c r="B14" s="255"/>
      <c r="C14" s="256"/>
      <c r="D14" s="257"/>
      <c r="E14" s="269">
        <f t="shared" si="0"/>
        <v>0</v>
      </c>
      <c r="F14" s="270"/>
      <c r="G14" s="406"/>
      <c r="H14" s="406"/>
      <c r="I14" s="406"/>
      <c r="J14" s="406"/>
      <c r="K14" s="406"/>
      <c r="L14" s="406"/>
      <c r="M14" s="281"/>
    </row>
    <row r="15" spans="2:13" ht="15" customHeight="1">
      <c r="B15" s="255"/>
      <c r="C15" s="256"/>
      <c r="D15" s="257"/>
      <c r="E15" s="269">
        <f t="shared" si="0"/>
        <v>0</v>
      </c>
      <c r="F15" s="270"/>
      <c r="G15" s="406"/>
      <c r="H15" s="406"/>
      <c r="I15" s="406"/>
      <c r="J15" s="406"/>
      <c r="K15" s="406"/>
      <c r="L15" s="406"/>
      <c r="M15" s="281"/>
    </row>
    <row r="16" spans="2:13" ht="15.5">
      <c r="B16" s="255"/>
      <c r="C16" s="256"/>
      <c r="D16" s="257"/>
      <c r="E16" s="269">
        <f t="shared" si="0"/>
        <v>0</v>
      </c>
      <c r="F16" s="270"/>
      <c r="G16" s="406"/>
      <c r="H16" s="406"/>
      <c r="I16" s="406"/>
      <c r="J16" s="406"/>
      <c r="K16" s="406"/>
      <c r="L16" s="406"/>
      <c r="M16" s="281"/>
    </row>
    <row r="17" spans="2:15" ht="15.5">
      <c r="B17" s="255"/>
      <c r="C17" s="256"/>
      <c r="D17" s="257"/>
      <c r="E17" s="269"/>
      <c r="F17" s="270"/>
      <c r="G17" s="406"/>
      <c r="H17" s="406"/>
      <c r="I17" s="406"/>
      <c r="J17" s="406"/>
      <c r="K17" s="406"/>
      <c r="L17" s="406"/>
      <c r="M17" s="281"/>
    </row>
    <row r="18" spans="2:15" ht="15.5">
      <c r="B18" s="255"/>
      <c r="C18" s="256"/>
      <c r="D18" s="257"/>
      <c r="E18" s="269"/>
      <c r="F18" s="270"/>
      <c r="G18" s="406"/>
      <c r="H18" s="406"/>
      <c r="I18" s="406"/>
      <c r="J18" s="406"/>
      <c r="K18" s="406"/>
      <c r="L18" s="406"/>
      <c r="M18" s="281"/>
    </row>
    <row r="19" spans="2:15" ht="15.5">
      <c r="B19" s="255"/>
      <c r="C19" s="256"/>
      <c r="D19" s="257"/>
      <c r="E19" s="269"/>
      <c r="F19" s="270"/>
      <c r="G19" s="406"/>
      <c r="H19" s="406"/>
      <c r="I19" s="406"/>
      <c r="J19" s="406"/>
      <c r="K19" s="406"/>
      <c r="L19" s="406"/>
      <c r="M19" s="281"/>
    </row>
    <row r="20" spans="2:15" ht="15.5">
      <c r="B20" s="255"/>
      <c r="C20" s="256"/>
      <c r="D20" s="257"/>
      <c r="E20" s="269"/>
      <c r="F20" s="270"/>
      <c r="G20" s="406"/>
      <c r="H20" s="406"/>
      <c r="I20" s="406"/>
      <c r="J20" s="406"/>
      <c r="K20" s="406"/>
      <c r="L20" s="406"/>
      <c r="M20" s="281"/>
    </row>
    <row r="21" spans="2:15" ht="15.5">
      <c r="B21" s="255"/>
      <c r="C21" s="256"/>
      <c r="D21" s="257"/>
      <c r="E21" s="269"/>
      <c r="F21" s="270"/>
      <c r="G21" s="406"/>
      <c r="H21" s="406"/>
      <c r="I21" s="406"/>
      <c r="J21" s="406"/>
      <c r="K21" s="406"/>
      <c r="L21" s="406"/>
      <c r="M21" s="281"/>
    </row>
    <row r="22" spans="2:15" ht="15.5">
      <c r="B22" s="255"/>
      <c r="C22" s="256"/>
      <c r="D22" s="257"/>
      <c r="E22" s="269"/>
      <c r="F22" s="270"/>
      <c r="G22" s="406"/>
      <c r="H22" s="406"/>
      <c r="I22" s="406"/>
      <c r="J22" s="406"/>
      <c r="K22" s="406"/>
      <c r="L22" s="406"/>
      <c r="M22" s="281"/>
    </row>
    <row r="23" spans="2:15" ht="15.5">
      <c r="B23" s="255"/>
      <c r="C23" s="256"/>
      <c r="D23" s="257"/>
      <c r="E23" s="269">
        <f t="shared" si="0"/>
        <v>0</v>
      </c>
      <c r="F23" s="270"/>
      <c r="G23" s="406"/>
      <c r="H23" s="406"/>
      <c r="I23" s="406"/>
      <c r="J23" s="406"/>
      <c r="K23" s="406"/>
      <c r="L23" s="406"/>
      <c r="M23" s="281"/>
    </row>
    <row r="24" spans="2:15" ht="15.5">
      <c r="B24" s="255"/>
      <c r="C24" s="256"/>
      <c r="D24" s="257"/>
      <c r="E24" s="269">
        <f t="shared" si="0"/>
        <v>0</v>
      </c>
      <c r="F24" s="270"/>
      <c r="G24" s="406"/>
      <c r="H24" s="406"/>
      <c r="I24" s="406"/>
      <c r="J24" s="406"/>
      <c r="K24" s="406"/>
      <c r="L24" s="406"/>
      <c r="M24" s="281"/>
    </row>
    <row r="25" spans="2:15" ht="15.5">
      <c r="B25" s="259"/>
      <c r="C25" s="260"/>
      <c r="D25" s="261"/>
      <c r="E25" s="271">
        <f t="shared" si="0"/>
        <v>0</v>
      </c>
      <c r="F25" s="272"/>
      <c r="G25" s="407"/>
      <c r="H25" s="407"/>
      <c r="I25" s="407"/>
      <c r="J25" s="407"/>
      <c r="K25" s="407"/>
      <c r="L25" s="407"/>
      <c r="M25" s="282"/>
    </row>
    <row r="26" spans="2:15">
      <c r="C26" s="262"/>
      <c r="E26" s="273"/>
      <c r="F26" s="274"/>
    </row>
    <row r="27" spans="2:15">
      <c r="B27" s="263"/>
      <c r="C27" s="264"/>
      <c r="D27" s="263"/>
      <c r="E27" s="275"/>
      <c r="F27" s="276"/>
      <c r="G27" s="263"/>
      <c r="H27" s="263"/>
      <c r="I27" s="263"/>
      <c r="J27" s="263"/>
      <c r="K27" s="263"/>
      <c r="L27" s="263"/>
      <c r="M27" s="263"/>
      <c r="N27" s="275"/>
      <c r="O27" s="276"/>
    </row>
    <row r="28" spans="2:15" ht="18">
      <c r="B28" s="263"/>
      <c r="C28" s="408"/>
      <c r="D28" s="408"/>
      <c r="E28" s="408"/>
      <c r="F28" s="408"/>
      <c r="G28" s="408"/>
      <c r="H28" s="408"/>
      <c r="I28" s="408"/>
      <c r="J28" s="408"/>
      <c r="K28" s="408"/>
      <c r="L28" s="408"/>
      <c r="M28" s="408"/>
      <c r="N28" s="263"/>
      <c r="O28" s="276"/>
    </row>
    <row r="29" spans="2:15" ht="15.75" customHeight="1">
      <c r="B29" s="263"/>
      <c r="C29" s="410"/>
      <c r="D29" s="410"/>
      <c r="E29" s="277"/>
      <c r="F29" s="409"/>
      <c r="G29" s="409"/>
      <c r="H29" s="409"/>
      <c r="I29" s="409"/>
      <c r="J29" s="409"/>
      <c r="K29" s="409"/>
      <c r="L29" s="409"/>
      <c r="M29" s="409"/>
      <c r="N29" s="278"/>
      <c r="O29" s="276"/>
    </row>
    <row r="30" spans="2:15" ht="15.75" customHeight="1">
      <c r="B30" s="263"/>
      <c r="C30" s="410"/>
      <c r="D30" s="410"/>
      <c r="E30" s="277"/>
      <c r="F30" s="279"/>
      <c r="G30" s="279"/>
      <c r="H30" s="279"/>
      <c r="I30" s="279"/>
      <c r="J30" s="279"/>
      <c r="K30" s="279"/>
      <c r="L30" s="279"/>
      <c r="M30" s="279"/>
      <c r="N30" s="279"/>
      <c r="O30" s="276"/>
    </row>
    <row r="31" spans="2:15">
      <c r="B31" s="263"/>
      <c r="C31" s="266"/>
      <c r="D31" s="267"/>
      <c r="E31" s="267"/>
      <c r="F31" s="268"/>
      <c r="G31" s="268"/>
      <c r="H31" s="268"/>
      <c r="I31" s="268"/>
      <c r="J31" s="268"/>
      <c r="K31" s="268"/>
      <c r="L31" s="268"/>
      <c r="M31" s="268"/>
      <c r="N31" s="283"/>
      <c r="O31" s="276"/>
    </row>
    <row r="32" spans="2:15">
      <c r="B32" s="263"/>
      <c r="C32" s="266"/>
      <c r="D32" s="268"/>
      <c r="E32" s="268"/>
      <c r="F32" s="268"/>
      <c r="G32" s="268"/>
      <c r="H32" s="268"/>
      <c r="I32" s="268"/>
      <c r="J32" s="268"/>
      <c r="K32" s="268"/>
      <c r="L32" s="268"/>
      <c r="M32" s="268"/>
      <c r="N32" s="283"/>
      <c r="O32" s="276"/>
    </row>
    <row r="33" spans="2:15">
      <c r="B33" s="263"/>
      <c r="C33" s="266"/>
      <c r="D33" s="267"/>
      <c r="E33" s="267"/>
      <c r="F33" s="268"/>
      <c r="G33" s="268"/>
      <c r="H33" s="268"/>
      <c r="I33" s="268"/>
      <c r="J33" s="268"/>
      <c r="K33" s="268"/>
      <c r="L33" s="268"/>
      <c r="M33" s="268"/>
      <c r="N33" s="283"/>
      <c r="O33" s="276"/>
    </row>
    <row r="34" spans="2:15">
      <c r="B34" s="263"/>
      <c r="C34" s="266"/>
      <c r="D34" s="267"/>
      <c r="E34" s="267"/>
      <c r="F34" s="268"/>
      <c r="G34" s="268"/>
      <c r="H34" s="268"/>
      <c r="I34" s="268"/>
      <c r="J34" s="268"/>
      <c r="K34" s="268"/>
      <c r="L34" s="268"/>
      <c r="M34" s="268"/>
      <c r="N34" s="283"/>
      <c r="O34" s="276"/>
    </row>
    <row r="35" spans="2:15">
      <c r="B35" s="263"/>
      <c r="C35" s="266"/>
      <c r="D35" s="267"/>
      <c r="E35" s="267"/>
      <c r="F35" s="268"/>
      <c r="G35" s="268"/>
      <c r="H35" s="268"/>
      <c r="I35" s="268"/>
      <c r="J35" s="268"/>
      <c r="K35" s="268"/>
      <c r="L35" s="268"/>
      <c r="M35" s="268"/>
      <c r="N35" s="283"/>
      <c r="O35" s="276"/>
    </row>
    <row r="36" spans="2:15">
      <c r="B36" s="263"/>
      <c r="C36" s="266"/>
      <c r="D36" s="267"/>
      <c r="E36" s="267"/>
      <c r="F36" s="268"/>
      <c r="G36" s="268"/>
      <c r="H36" s="268"/>
      <c r="I36" s="268"/>
      <c r="J36" s="268"/>
      <c r="K36" s="268"/>
      <c r="L36" s="268"/>
      <c r="M36" s="268"/>
      <c r="N36" s="283"/>
      <c r="O36" s="276"/>
    </row>
    <row r="37" spans="2:15">
      <c r="B37" s="263"/>
      <c r="C37" s="266"/>
      <c r="D37" s="267"/>
      <c r="E37" s="267"/>
      <c r="F37" s="268"/>
      <c r="G37" s="268"/>
      <c r="H37" s="268"/>
      <c r="I37" s="268"/>
      <c r="J37" s="268"/>
      <c r="K37" s="268"/>
      <c r="L37" s="268"/>
      <c r="M37" s="268"/>
      <c r="N37" s="283"/>
      <c r="O37" s="276"/>
    </row>
    <row r="38" spans="2:15">
      <c r="B38" s="263"/>
      <c r="C38" s="266"/>
      <c r="D38" s="267"/>
      <c r="E38" s="267"/>
      <c r="F38" s="268"/>
      <c r="G38" s="268"/>
      <c r="H38" s="268"/>
      <c r="I38" s="268"/>
      <c r="J38" s="268"/>
      <c r="K38" s="268"/>
      <c r="L38" s="268"/>
      <c r="M38" s="268"/>
      <c r="N38" s="283"/>
      <c r="O38" s="276"/>
    </row>
    <row r="39" spans="2:15">
      <c r="B39" s="263"/>
      <c r="C39" s="266"/>
      <c r="D39" s="267"/>
      <c r="E39" s="267"/>
      <c r="F39" s="268"/>
      <c r="G39" s="268"/>
      <c r="H39" s="268"/>
      <c r="I39" s="268"/>
      <c r="J39" s="268"/>
      <c r="K39" s="268"/>
      <c r="L39" s="268"/>
      <c r="M39" s="268"/>
      <c r="N39" s="283"/>
      <c r="O39" s="276"/>
    </row>
    <row r="40" spans="2:15">
      <c r="B40" s="263"/>
      <c r="C40" s="266"/>
      <c r="D40" s="267"/>
      <c r="E40" s="267"/>
      <c r="F40" s="268"/>
      <c r="G40" s="268"/>
      <c r="H40" s="268"/>
      <c r="I40" s="268"/>
      <c r="J40" s="268"/>
      <c r="K40" s="268"/>
      <c r="L40" s="268"/>
      <c r="M40" s="268"/>
      <c r="N40" s="283"/>
      <c r="O40" s="276"/>
    </row>
    <row r="41" spans="2:15">
      <c r="B41" s="263"/>
      <c r="C41" s="266"/>
      <c r="D41" s="267"/>
      <c r="E41" s="288"/>
      <c r="F41" s="268"/>
      <c r="G41" s="268"/>
      <c r="H41" s="268"/>
      <c r="I41" s="268"/>
      <c r="J41" s="268"/>
      <c r="K41" s="268"/>
      <c r="L41" s="268"/>
      <c r="M41" s="268"/>
      <c r="N41" s="283"/>
      <c r="O41" s="276"/>
    </row>
    <row r="42" spans="2:15">
      <c r="B42" s="263"/>
      <c r="C42" s="266"/>
      <c r="D42" s="267"/>
      <c r="E42" s="267"/>
      <c r="F42" s="268"/>
      <c r="G42" s="268"/>
      <c r="H42" s="268"/>
      <c r="I42" s="268"/>
      <c r="J42" s="268"/>
      <c r="K42" s="268"/>
      <c r="L42" s="268"/>
      <c r="M42" s="268"/>
      <c r="N42" s="283"/>
      <c r="O42" s="276"/>
    </row>
    <row r="43" spans="2:15">
      <c r="B43" s="263"/>
      <c r="C43" s="263"/>
      <c r="D43" s="263"/>
      <c r="E43" s="264"/>
      <c r="F43" s="263"/>
      <c r="G43" s="264"/>
      <c r="H43" s="263"/>
      <c r="I43" s="264"/>
      <c r="J43" s="263"/>
      <c r="K43" s="264"/>
      <c r="L43" s="263"/>
      <c r="M43" s="264"/>
      <c r="N43" s="263"/>
      <c r="O43" s="276"/>
    </row>
    <row r="44" spans="2:15">
      <c r="B44" s="263"/>
      <c r="C44" s="264"/>
      <c r="D44" s="263"/>
      <c r="E44" s="275"/>
      <c r="F44" s="276"/>
      <c r="G44" s="263"/>
      <c r="H44" s="263"/>
      <c r="I44" s="263"/>
      <c r="J44" s="263"/>
      <c r="K44" s="263"/>
      <c r="L44" s="263"/>
      <c r="M44" s="263"/>
      <c r="N44" s="275"/>
      <c r="O44" s="276"/>
    </row>
    <row r="45" spans="2:15" ht="18">
      <c r="B45" s="263"/>
      <c r="C45" s="408"/>
      <c r="D45" s="408"/>
      <c r="E45" s="408"/>
      <c r="F45" s="408"/>
      <c r="G45" s="408"/>
      <c r="H45" s="408"/>
      <c r="I45" s="408"/>
      <c r="J45" s="408"/>
      <c r="K45" s="408"/>
      <c r="L45" s="408"/>
      <c r="M45" s="408"/>
      <c r="N45" s="275"/>
      <c r="O45" s="276"/>
    </row>
    <row r="46" spans="2:15" ht="15.75" customHeight="1">
      <c r="B46" s="263"/>
      <c r="C46" s="265"/>
      <c r="D46" s="265"/>
      <c r="E46" s="265"/>
      <c r="F46" s="265"/>
      <c r="G46" s="410"/>
      <c r="H46" s="410"/>
      <c r="I46" s="410"/>
      <c r="J46" s="410"/>
      <c r="K46" s="410"/>
      <c r="L46" s="410"/>
      <c r="M46" s="265"/>
      <c r="N46" s="275"/>
      <c r="O46" s="276"/>
    </row>
    <row r="47" spans="2:15" ht="15" customHeight="1">
      <c r="B47" s="263"/>
      <c r="C47" s="284"/>
      <c r="D47" s="285"/>
      <c r="E47" s="289"/>
      <c r="F47" s="290"/>
      <c r="G47" s="411"/>
      <c r="H47" s="411"/>
      <c r="I47" s="411"/>
      <c r="J47" s="411"/>
      <c r="K47" s="411"/>
      <c r="L47" s="411"/>
      <c r="M47" s="291"/>
      <c r="N47" s="275"/>
      <c r="O47" s="276"/>
    </row>
    <row r="48" spans="2:15" ht="36" customHeight="1">
      <c r="B48" s="263"/>
      <c r="C48" s="284"/>
      <c r="D48" s="286"/>
      <c r="E48" s="289"/>
      <c r="F48" s="290"/>
      <c r="G48" s="411"/>
      <c r="H48" s="411"/>
      <c r="I48" s="411"/>
      <c r="J48" s="411"/>
      <c r="K48" s="411"/>
      <c r="L48" s="411"/>
      <c r="M48" s="291"/>
      <c r="N48" s="275"/>
      <c r="O48" s="276"/>
    </row>
    <row r="49" spans="2:15" ht="15.5">
      <c r="B49" s="263"/>
      <c r="C49" s="284"/>
      <c r="D49" s="286"/>
      <c r="E49" s="289"/>
      <c r="F49" s="290"/>
      <c r="G49" s="411"/>
      <c r="H49" s="411"/>
      <c r="I49" s="411"/>
      <c r="J49" s="411"/>
      <c r="K49" s="411"/>
      <c r="L49" s="411"/>
      <c r="M49" s="291"/>
      <c r="N49" s="275"/>
      <c r="O49" s="276"/>
    </row>
    <row r="50" spans="2:15" ht="15.5">
      <c r="B50" s="263"/>
      <c r="C50" s="284"/>
      <c r="D50" s="286"/>
      <c r="E50" s="289"/>
      <c r="F50" s="290"/>
      <c r="G50" s="411"/>
      <c r="H50" s="411"/>
      <c r="I50" s="411"/>
      <c r="J50" s="411"/>
      <c r="K50" s="411"/>
      <c r="L50" s="411"/>
      <c r="M50" s="291"/>
      <c r="N50" s="275"/>
      <c r="O50" s="276"/>
    </row>
    <row r="51" spans="2:15" ht="15" customHeight="1">
      <c r="B51" s="263"/>
      <c r="C51" s="287"/>
      <c r="D51" s="285"/>
      <c r="E51" s="289"/>
      <c r="F51" s="290"/>
      <c r="G51" s="411"/>
      <c r="H51" s="411"/>
      <c r="I51" s="411"/>
      <c r="J51" s="411"/>
      <c r="K51" s="411"/>
      <c r="L51" s="411"/>
      <c r="M51" s="291"/>
      <c r="N51" s="275"/>
      <c r="O51" s="276"/>
    </row>
    <row r="52" spans="2:15" ht="15" customHeight="1">
      <c r="B52" s="263"/>
      <c r="C52" s="284"/>
      <c r="D52" s="285"/>
      <c r="E52" s="289"/>
      <c r="F52" s="290"/>
      <c r="G52" s="411"/>
      <c r="H52" s="411"/>
      <c r="I52" s="411"/>
      <c r="J52" s="411"/>
      <c r="K52" s="411"/>
      <c r="L52" s="411"/>
      <c r="M52" s="291"/>
      <c r="N52" s="275"/>
      <c r="O52" s="276"/>
    </row>
    <row r="53" spans="2:15" ht="15" customHeight="1">
      <c r="B53" s="263"/>
      <c r="C53" s="284"/>
      <c r="D53" s="285"/>
      <c r="E53" s="289"/>
      <c r="F53" s="290"/>
      <c r="G53" s="411"/>
      <c r="H53" s="411"/>
      <c r="I53" s="411"/>
      <c r="J53" s="411"/>
      <c r="K53" s="411"/>
      <c r="L53" s="411"/>
      <c r="M53" s="291"/>
      <c r="N53" s="275"/>
      <c r="O53" s="276"/>
    </row>
    <row r="54" spans="2:15" ht="15.5">
      <c r="B54" s="263"/>
      <c r="C54" s="284"/>
      <c r="D54" s="285"/>
      <c r="E54" s="289"/>
      <c r="F54" s="290"/>
      <c r="G54" s="411"/>
      <c r="H54" s="411"/>
      <c r="I54" s="411"/>
      <c r="J54" s="411"/>
      <c r="K54" s="411"/>
      <c r="L54" s="411"/>
      <c r="M54" s="291"/>
      <c r="N54" s="275"/>
      <c r="O54" s="276"/>
    </row>
    <row r="55" spans="2:15" ht="15.5">
      <c r="B55" s="263"/>
      <c r="C55" s="284"/>
      <c r="D55" s="285"/>
      <c r="E55" s="289"/>
      <c r="F55" s="290"/>
      <c r="G55" s="411"/>
      <c r="H55" s="411"/>
      <c r="I55" s="411"/>
      <c r="J55" s="411"/>
      <c r="K55" s="411"/>
      <c r="L55" s="411"/>
      <c r="M55" s="291"/>
      <c r="N55" s="275"/>
      <c r="O55" s="276"/>
    </row>
    <row r="56" spans="2:15" ht="15.5">
      <c r="B56" s="263"/>
      <c r="C56" s="284"/>
      <c r="D56" s="285"/>
      <c r="E56" s="289"/>
      <c r="F56" s="290"/>
      <c r="G56" s="411"/>
      <c r="H56" s="411"/>
      <c r="I56" s="411"/>
      <c r="J56" s="411"/>
      <c r="K56" s="411"/>
      <c r="L56" s="411"/>
      <c r="M56" s="291"/>
      <c r="N56" s="275"/>
      <c r="O56" s="276"/>
    </row>
    <row r="57" spans="2:15" ht="15.5">
      <c r="B57" s="263"/>
      <c r="C57" s="284"/>
      <c r="D57" s="285"/>
      <c r="E57" s="289"/>
      <c r="F57" s="290"/>
      <c r="G57" s="411"/>
      <c r="H57" s="411"/>
      <c r="I57" s="411"/>
      <c r="J57" s="411"/>
      <c r="K57" s="411"/>
      <c r="L57" s="411"/>
      <c r="M57" s="291"/>
      <c r="N57" s="275"/>
      <c r="O57" s="276"/>
    </row>
    <row r="58" spans="2:15" ht="15.5">
      <c r="B58" s="263"/>
      <c r="C58" s="284"/>
      <c r="D58" s="285"/>
      <c r="E58" s="289"/>
      <c r="F58" s="290"/>
      <c r="G58" s="411"/>
      <c r="H58" s="411"/>
      <c r="I58" s="411"/>
      <c r="J58" s="411"/>
      <c r="K58" s="411"/>
      <c r="L58" s="411"/>
      <c r="M58" s="291"/>
      <c r="N58" s="275"/>
      <c r="O58" s="276"/>
    </row>
    <row r="59" spans="2:15" ht="15.5">
      <c r="B59" s="263"/>
      <c r="C59" s="284"/>
      <c r="D59" s="285"/>
      <c r="E59" s="289"/>
      <c r="F59" s="290"/>
      <c r="G59" s="411"/>
      <c r="H59" s="411"/>
      <c r="I59" s="411"/>
      <c r="J59" s="411"/>
      <c r="K59" s="411"/>
      <c r="L59" s="411"/>
      <c r="M59" s="291"/>
      <c r="N59" s="275"/>
      <c r="O59" s="276"/>
    </row>
    <row r="60" spans="2:15" ht="15.5">
      <c r="B60" s="263"/>
      <c r="C60" s="284"/>
      <c r="D60" s="285"/>
      <c r="E60" s="289"/>
      <c r="F60" s="290"/>
      <c r="G60" s="411"/>
      <c r="H60" s="411"/>
      <c r="I60" s="411"/>
      <c r="J60" s="411"/>
      <c r="K60" s="411"/>
      <c r="L60" s="411"/>
      <c r="M60" s="291"/>
      <c r="N60" s="275"/>
      <c r="O60" s="276"/>
    </row>
    <row r="61" spans="2:15" ht="15.5">
      <c r="B61" s="263"/>
      <c r="C61" s="284"/>
      <c r="D61" s="285"/>
      <c r="E61" s="289"/>
      <c r="F61" s="290"/>
      <c r="G61" s="411"/>
      <c r="H61" s="411"/>
      <c r="I61" s="411"/>
      <c r="J61" s="411"/>
      <c r="K61" s="411"/>
      <c r="L61" s="411"/>
      <c r="M61" s="291"/>
      <c r="N61" s="275"/>
      <c r="O61" s="276"/>
    </row>
    <row r="62" spans="2:15" ht="15.5">
      <c r="B62" s="263"/>
      <c r="C62" s="284"/>
      <c r="D62" s="285"/>
      <c r="E62" s="289"/>
      <c r="F62" s="290"/>
      <c r="G62" s="411"/>
      <c r="H62" s="411"/>
      <c r="I62" s="411"/>
      <c r="J62" s="411"/>
      <c r="K62" s="411"/>
      <c r="L62" s="411"/>
      <c r="M62" s="291"/>
      <c r="N62" s="275"/>
      <c r="O62" s="276"/>
    </row>
    <row r="63" spans="2:15" ht="15.5">
      <c r="B63" s="263"/>
      <c r="C63" s="284"/>
      <c r="D63" s="285"/>
      <c r="E63" s="289"/>
      <c r="F63" s="290"/>
      <c r="G63" s="411"/>
      <c r="H63" s="411"/>
      <c r="I63" s="411"/>
      <c r="J63" s="411"/>
      <c r="K63" s="411"/>
      <c r="L63" s="411"/>
      <c r="M63" s="291"/>
      <c r="N63" s="275"/>
      <c r="O63" s="276"/>
    </row>
    <row r="64" spans="2:15" ht="15.5">
      <c r="B64" s="263"/>
      <c r="C64" s="284"/>
      <c r="D64" s="285"/>
      <c r="E64" s="289"/>
      <c r="F64" s="290"/>
      <c r="G64" s="411"/>
      <c r="H64" s="411"/>
      <c r="I64" s="411"/>
      <c r="J64" s="411"/>
      <c r="K64" s="411"/>
      <c r="L64" s="411"/>
      <c r="M64" s="291"/>
      <c r="N64" s="275"/>
      <c r="O64" s="276"/>
    </row>
    <row r="65" spans="2:15" ht="15.5">
      <c r="B65" s="263"/>
      <c r="C65" s="284"/>
      <c r="D65" s="285"/>
      <c r="E65" s="289"/>
      <c r="F65" s="290"/>
      <c r="G65" s="411"/>
      <c r="H65" s="411"/>
      <c r="I65" s="411"/>
      <c r="J65" s="411"/>
      <c r="K65" s="411"/>
      <c r="L65" s="411"/>
      <c r="M65" s="291"/>
      <c r="N65" s="275"/>
      <c r="O65" s="276"/>
    </row>
    <row r="66" spans="2:15" ht="15.5">
      <c r="B66" s="263"/>
      <c r="C66" s="284"/>
      <c r="D66" s="285"/>
      <c r="E66" s="289"/>
      <c r="F66" s="290"/>
      <c r="G66" s="411"/>
      <c r="H66" s="411"/>
      <c r="I66" s="411"/>
      <c r="J66" s="411"/>
      <c r="K66" s="411"/>
      <c r="L66" s="411"/>
      <c r="M66" s="291"/>
      <c r="N66" s="275"/>
      <c r="O66" s="276"/>
    </row>
    <row r="67" spans="2:15" ht="15.5">
      <c r="B67" s="263"/>
      <c r="C67" s="284"/>
      <c r="D67" s="285"/>
      <c r="E67" s="289"/>
      <c r="F67" s="290"/>
      <c r="G67" s="411"/>
      <c r="H67" s="411"/>
      <c r="I67" s="411"/>
      <c r="J67" s="411"/>
      <c r="K67" s="411"/>
      <c r="L67" s="411"/>
      <c r="M67" s="291"/>
      <c r="N67" s="275"/>
      <c r="O67" s="276"/>
    </row>
    <row r="68" spans="2:15" ht="15.5">
      <c r="B68" s="263"/>
      <c r="C68" s="284"/>
      <c r="D68" s="285"/>
      <c r="E68" s="289"/>
      <c r="F68" s="292"/>
      <c r="G68" s="411"/>
      <c r="H68" s="411"/>
      <c r="I68" s="411"/>
      <c r="J68" s="411"/>
      <c r="K68" s="411"/>
      <c r="L68" s="411"/>
      <c r="M68" s="291"/>
      <c r="N68" s="275"/>
      <c r="O68" s="276"/>
    </row>
    <row r="69" spans="2:15">
      <c r="B69" s="263"/>
      <c r="C69" s="264"/>
      <c r="D69" s="263"/>
      <c r="E69" s="275"/>
      <c r="F69" s="276"/>
      <c r="G69" s="263"/>
      <c r="H69" s="263"/>
      <c r="I69" s="263"/>
      <c r="J69" s="263"/>
      <c r="K69" s="263"/>
      <c r="L69" s="263"/>
      <c r="M69" s="263"/>
      <c r="N69" s="275"/>
      <c r="O69" s="276"/>
    </row>
    <row r="70" spans="2:15">
      <c r="B70" s="263"/>
      <c r="C70" s="264"/>
      <c r="D70" s="263"/>
      <c r="E70" s="275"/>
      <c r="F70" s="276"/>
      <c r="G70" s="263"/>
      <c r="H70" s="263"/>
      <c r="I70" s="263"/>
      <c r="J70" s="263"/>
      <c r="K70" s="263"/>
      <c r="L70" s="263"/>
      <c r="M70" s="263"/>
      <c r="N70" s="275"/>
      <c r="O70" s="276"/>
    </row>
    <row r="71" spans="2:15">
      <c r="C71" s="262"/>
      <c r="E71" s="273"/>
      <c r="F71" s="274"/>
      <c r="N71" s="273"/>
      <c r="O71" s="274"/>
    </row>
    <row r="72" spans="2:15">
      <c r="C72" s="262"/>
      <c r="E72" s="273"/>
      <c r="F72" s="274"/>
      <c r="N72" s="273"/>
      <c r="O72" s="274"/>
    </row>
    <row r="73" spans="2:15">
      <c r="C73" s="262"/>
      <c r="E73" s="273"/>
      <c r="F73" s="274"/>
      <c r="N73" s="273"/>
      <c r="O73" s="274"/>
    </row>
    <row r="74" spans="2:15">
      <c r="C74" s="262"/>
      <c r="E74" s="273"/>
      <c r="F74" s="274"/>
      <c r="N74" s="273"/>
      <c r="O74" s="274"/>
    </row>
    <row r="75" spans="2:15">
      <c r="C75" s="262"/>
      <c r="E75" s="273"/>
      <c r="F75" s="274"/>
      <c r="N75" s="273"/>
      <c r="O75" s="274"/>
    </row>
    <row r="76" spans="2:15">
      <c r="C76" s="262"/>
      <c r="E76" s="273"/>
      <c r="F76" s="274"/>
      <c r="N76" s="273"/>
      <c r="O76" s="274"/>
    </row>
    <row r="77" spans="2:15">
      <c r="C77" s="262"/>
      <c r="E77" s="273"/>
      <c r="F77" s="274"/>
      <c r="N77" s="273"/>
      <c r="O77" s="274"/>
    </row>
    <row r="78" spans="2:15">
      <c r="C78" s="262"/>
      <c r="E78" s="273"/>
      <c r="F78" s="274"/>
      <c r="N78" s="273"/>
      <c r="O78" s="274"/>
    </row>
    <row r="79" spans="2:15">
      <c r="C79" s="262"/>
      <c r="E79" s="273"/>
      <c r="F79" s="274"/>
      <c r="N79" s="273"/>
      <c r="O79" s="274"/>
    </row>
    <row r="80" spans="2:15">
      <c r="C80" s="262"/>
      <c r="E80" s="273"/>
      <c r="F80" s="274"/>
      <c r="N80" s="273"/>
      <c r="O80" s="274"/>
    </row>
    <row r="81" spans="3:15">
      <c r="C81" s="262"/>
      <c r="E81" s="273"/>
      <c r="F81" s="274"/>
      <c r="N81" s="273"/>
      <c r="O81" s="274"/>
    </row>
    <row r="82" spans="3:15">
      <c r="C82" s="262"/>
      <c r="E82" s="273"/>
      <c r="F82" s="274"/>
      <c r="N82" s="273"/>
      <c r="O82" s="274"/>
    </row>
    <row r="83" spans="3:15">
      <c r="C83" s="262"/>
      <c r="E83" s="273"/>
      <c r="F83" s="274"/>
      <c r="N83" s="273"/>
      <c r="O83" s="274"/>
    </row>
    <row r="84" spans="3:15">
      <c r="C84" s="262"/>
      <c r="E84" s="273"/>
      <c r="F84" s="274"/>
      <c r="N84" s="273"/>
      <c r="O84" s="274"/>
    </row>
    <row r="85" spans="3:15">
      <c r="C85" s="262"/>
      <c r="E85" s="273"/>
      <c r="F85" s="274"/>
      <c r="N85" s="273"/>
      <c r="O85" s="274"/>
    </row>
    <row r="86" spans="3:15">
      <c r="C86" s="262"/>
      <c r="E86" s="273"/>
      <c r="F86" s="274"/>
      <c r="N86" s="273"/>
      <c r="O86" s="274"/>
    </row>
    <row r="87" spans="3:15">
      <c r="C87" s="262"/>
      <c r="E87" s="273"/>
      <c r="F87" s="274"/>
      <c r="N87" s="273"/>
      <c r="O87" s="274"/>
    </row>
    <row r="88" spans="3:15">
      <c r="C88" s="262"/>
      <c r="E88" s="273"/>
      <c r="F88" s="274"/>
      <c r="N88" s="273"/>
      <c r="O88" s="274"/>
    </row>
    <row r="89" spans="3:15">
      <c r="C89" s="262"/>
      <c r="E89" s="273"/>
      <c r="F89" s="274"/>
      <c r="N89" s="273"/>
      <c r="O89" s="274"/>
    </row>
    <row r="90" spans="3:15">
      <c r="C90" s="262"/>
      <c r="E90" s="273"/>
      <c r="F90" s="274"/>
      <c r="N90" s="273"/>
      <c r="O90" s="274"/>
    </row>
    <row r="91" spans="3:15">
      <c r="C91" s="262"/>
      <c r="E91" s="273"/>
      <c r="F91" s="274"/>
      <c r="N91" s="273"/>
      <c r="O91" s="274"/>
    </row>
    <row r="92" spans="3:15">
      <c r="C92" s="262"/>
      <c r="E92" s="273"/>
      <c r="F92" s="274"/>
      <c r="N92" s="273"/>
      <c r="O92" s="274"/>
    </row>
    <row r="93" spans="3:15">
      <c r="C93" s="262"/>
      <c r="E93" s="273"/>
      <c r="F93" s="274"/>
      <c r="N93" s="273"/>
      <c r="O93" s="274"/>
    </row>
    <row r="94" spans="3:15">
      <c r="C94" s="262"/>
      <c r="E94" s="273"/>
      <c r="F94" s="274"/>
      <c r="N94" s="273"/>
      <c r="O94" s="274"/>
    </row>
    <row r="95" spans="3:15">
      <c r="C95" s="262"/>
      <c r="E95" s="273"/>
      <c r="F95" s="274"/>
      <c r="N95" s="273"/>
      <c r="O95" s="274"/>
    </row>
    <row r="96" spans="3:15">
      <c r="C96" s="262"/>
      <c r="E96" s="273"/>
      <c r="F96" s="274"/>
      <c r="N96" s="273"/>
      <c r="O96" s="274"/>
    </row>
    <row r="97" spans="3:15">
      <c r="C97" s="262"/>
      <c r="E97" s="273"/>
      <c r="F97" s="274"/>
      <c r="N97" s="273"/>
      <c r="O97" s="274"/>
    </row>
    <row r="98" spans="3:15">
      <c r="C98" s="262"/>
      <c r="E98" s="273"/>
      <c r="F98" s="274"/>
      <c r="N98" s="273"/>
      <c r="O98" s="274"/>
    </row>
    <row r="99" spans="3:15">
      <c r="C99" s="262"/>
      <c r="E99" s="273"/>
      <c r="F99" s="274"/>
      <c r="N99" s="273"/>
      <c r="O99" s="274"/>
    </row>
    <row r="100" spans="3:15">
      <c r="C100" s="262"/>
      <c r="E100" s="273"/>
      <c r="F100" s="274"/>
      <c r="N100" s="273"/>
      <c r="O100" s="274"/>
    </row>
    <row r="101" spans="3:15">
      <c r="C101" s="262"/>
      <c r="E101" s="273"/>
      <c r="F101" s="274"/>
      <c r="N101" s="273"/>
      <c r="O101" s="274"/>
    </row>
    <row r="102" spans="3:15">
      <c r="C102" s="262"/>
      <c r="E102" s="273"/>
      <c r="F102" s="274"/>
      <c r="N102" s="273"/>
      <c r="O102" s="274"/>
    </row>
    <row r="103" spans="3:15">
      <c r="C103" s="262"/>
      <c r="E103" s="273"/>
      <c r="F103" s="274"/>
      <c r="N103" s="273"/>
      <c r="O103" s="274"/>
    </row>
    <row r="104" spans="3:15">
      <c r="C104" s="262"/>
      <c r="E104" s="273"/>
      <c r="F104" s="274"/>
      <c r="N104" s="273"/>
      <c r="O104" s="274"/>
    </row>
    <row r="105" spans="3:15">
      <c r="C105" s="262"/>
      <c r="E105" s="273"/>
      <c r="F105" s="274"/>
      <c r="N105" s="273"/>
      <c r="O105" s="274"/>
    </row>
    <row r="106" spans="3:15">
      <c r="C106" s="262"/>
      <c r="E106" s="273"/>
      <c r="F106" s="274"/>
      <c r="N106" s="273"/>
      <c r="O106" s="274"/>
    </row>
    <row r="107" spans="3:15">
      <c r="C107" s="262"/>
      <c r="E107" s="273"/>
      <c r="F107" s="274"/>
      <c r="N107" s="273"/>
      <c r="O107" s="274"/>
    </row>
    <row r="108" spans="3:15">
      <c r="C108" s="262"/>
      <c r="E108" s="273"/>
      <c r="F108" s="274"/>
      <c r="N108" s="273"/>
      <c r="O108" s="274"/>
    </row>
    <row r="109" spans="3:15">
      <c r="C109" s="262"/>
      <c r="E109" s="273"/>
      <c r="F109" s="274"/>
      <c r="N109" s="273"/>
      <c r="O109" s="274"/>
    </row>
    <row r="110" spans="3:15">
      <c r="C110" s="262"/>
      <c r="E110" s="273"/>
      <c r="F110" s="274"/>
      <c r="N110" s="273"/>
      <c r="O110" s="274"/>
    </row>
    <row r="111" spans="3:15">
      <c r="C111" s="262"/>
      <c r="E111" s="273"/>
      <c r="F111" s="274"/>
      <c r="N111" s="273"/>
      <c r="O111" s="274"/>
    </row>
    <row r="112" spans="3:15">
      <c r="C112" s="262"/>
      <c r="E112" s="273"/>
      <c r="F112" s="274"/>
      <c r="N112" s="273"/>
      <c r="O112" s="274"/>
    </row>
    <row r="113" spans="3:15">
      <c r="C113" s="262"/>
      <c r="E113" s="273"/>
      <c r="F113" s="274"/>
      <c r="N113" s="273"/>
      <c r="O113" s="274"/>
    </row>
    <row r="114" spans="3:15">
      <c r="C114" s="262"/>
      <c r="E114" s="273"/>
      <c r="F114" s="274"/>
      <c r="N114" s="273"/>
      <c r="O114" s="274"/>
    </row>
    <row r="115" spans="3:15">
      <c r="C115" s="262"/>
      <c r="E115" s="273"/>
      <c r="F115" s="274"/>
      <c r="N115" s="273"/>
      <c r="O115" s="274"/>
    </row>
    <row r="116" spans="3:15">
      <c r="C116" s="262"/>
      <c r="E116" s="273"/>
      <c r="F116" s="274"/>
      <c r="N116" s="273"/>
      <c r="O116" s="274"/>
    </row>
    <row r="117" spans="3:15">
      <c r="C117" s="262"/>
      <c r="E117" s="273"/>
      <c r="F117" s="274"/>
      <c r="N117" s="273"/>
      <c r="O117" s="274"/>
    </row>
    <row r="118" spans="3:15">
      <c r="C118" s="262"/>
      <c r="E118" s="273"/>
      <c r="F118" s="274"/>
      <c r="N118" s="273"/>
      <c r="O118" s="274"/>
    </row>
    <row r="119" spans="3:15">
      <c r="C119" s="262"/>
      <c r="E119" s="273"/>
      <c r="F119" s="274"/>
      <c r="N119" s="273"/>
      <c r="O119" s="274"/>
    </row>
    <row r="120" spans="3:15">
      <c r="C120" s="262"/>
      <c r="E120" s="273"/>
      <c r="F120" s="274"/>
      <c r="N120" s="273"/>
      <c r="O120" s="274"/>
    </row>
    <row r="121" spans="3:15">
      <c r="C121" s="262"/>
      <c r="E121" s="273"/>
      <c r="F121" s="274"/>
      <c r="N121" s="273"/>
      <c r="O121" s="274"/>
    </row>
    <row r="122" spans="3:15">
      <c r="C122" s="262"/>
      <c r="E122" s="273"/>
      <c r="F122" s="274"/>
      <c r="N122" s="273"/>
      <c r="O122" s="274"/>
    </row>
    <row r="123" spans="3:15">
      <c r="C123" s="262"/>
      <c r="E123" s="273"/>
      <c r="F123" s="274"/>
      <c r="N123" s="273"/>
      <c r="O123" s="274"/>
    </row>
    <row r="124" spans="3:15">
      <c r="C124" s="262"/>
      <c r="E124" s="273"/>
      <c r="F124" s="274"/>
      <c r="N124" s="273"/>
      <c r="O124" s="274"/>
    </row>
    <row r="125" spans="3:15">
      <c r="C125" s="262"/>
      <c r="E125" s="273"/>
      <c r="F125" s="274"/>
      <c r="N125" s="273"/>
      <c r="O125" s="274"/>
    </row>
    <row r="126" spans="3:15">
      <c r="C126" s="262"/>
      <c r="E126" s="273"/>
      <c r="F126" s="274"/>
      <c r="N126" s="273"/>
      <c r="O126" s="274"/>
    </row>
    <row r="127" spans="3:15">
      <c r="C127" s="262"/>
      <c r="E127" s="273"/>
      <c r="F127" s="274"/>
      <c r="N127" s="273"/>
      <c r="O127" s="274"/>
    </row>
    <row r="128" spans="3:15">
      <c r="C128" s="262"/>
      <c r="E128" s="273"/>
      <c r="F128" s="274"/>
      <c r="N128" s="273"/>
      <c r="O128" s="274"/>
    </row>
    <row r="129" spans="3:15">
      <c r="C129" s="262"/>
      <c r="E129" s="273"/>
      <c r="F129" s="274"/>
      <c r="N129" s="273"/>
      <c r="O129" s="274"/>
    </row>
    <row r="130" spans="3:15">
      <c r="C130" s="262"/>
      <c r="E130" s="273"/>
      <c r="F130" s="274"/>
      <c r="N130" s="273"/>
      <c r="O130" s="274"/>
    </row>
    <row r="131" spans="3:15">
      <c r="C131" s="262"/>
      <c r="E131" s="273"/>
      <c r="F131" s="274"/>
      <c r="N131" s="273"/>
      <c r="O131" s="274"/>
    </row>
    <row r="132" spans="3:15">
      <c r="C132" s="262"/>
      <c r="E132" s="273"/>
      <c r="F132" s="274"/>
      <c r="N132" s="273"/>
      <c r="O132" s="274"/>
    </row>
    <row r="133" spans="3:15">
      <c r="C133" s="262"/>
      <c r="E133" s="273"/>
      <c r="F133" s="274"/>
      <c r="N133" s="273"/>
      <c r="O133" s="274"/>
    </row>
    <row r="134" spans="3:15">
      <c r="C134" s="262"/>
      <c r="E134" s="273"/>
      <c r="F134" s="274"/>
      <c r="N134" s="273"/>
      <c r="O134" s="274"/>
    </row>
    <row r="135" spans="3:15">
      <c r="C135" s="262"/>
      <c r="E135" s="273"/>
      <c r="F135" s="274"/>
      <c r="N135" s="273"/>
      <c r="O135" s="274"/>
    </row>
    <row r="136" spans="3:15">
      <c r="C136" s="262"/>
      <c r="E136" s="273"/>
      <c r="F136" s="274"/>
      <c r="N136" s="273"/>
      <c r="O136" s="274"/>
    </row>
    <row r="137" spans="3:15">
      <c r="C137" s="262"/>
      <c r="E137" s="273"/>
      <c r="F137" s="274"/>
      <c r="N137" s="273"/>
      <c r="O137" s="274"/>
    </row>
    <row r="138" spans="3:15">
      <c r="C138" s="262"/>
      <c r="E138" s="273"/>
      <c r="F138" s="274"/>
      <c r="N138" s="273"/>
      <c r="O138" s="274"/>
    </row>
    <row r="139" spans="3:15">
      <c r="C139" s="262"/>
      <c r="E139" s="273"/>
      <c r="F139" s="274"/>
      <c r="N139" s="273"/>
      <c r="O139" s="274"/>
    </row>
    <row r="140" spans="3:15">
      <c r="C140" s="262"/>
      <c r="E140" s="273"/>
      <c r="F140" s="274"/>
      <c r="N140" s="273"/>
      <c r="O140" s="274"/>
    </row>
    <row r="141" spans="3:15">
      <c r="C141" s="262"/>
      <c r="E141" s="273"/>
      <c r="F141" s="274"/>
      <c r="N141" s="273"/>
      <c r="O141" s="274"/>
    </row>
    <row r="142" spans="3:15">
      <c r="C142" s="262"/>
      <c r="E142" s="273"/>
      <c r="F142" s="274"/>
      <c r="N142" s="273"/>
      <c r="O142" s="274"/>
    </row>
    <row r="143" spans="3:15">
      <c r="C143" s="262"/>
      <c r="E143" s="273"/>
      <c r="F143" s="274"/>
      <c r="N143" s="273"/>
      <c r="O143" s="274"/>
    </row>
    <row r="144" spans="3:15">
      <c r="C144" s="262"/>
      <c r="E144" s="273"/>
      <c r="F144" s="274"/>
      <c r="N144" s="273"/>
      <c r="O144" s="274"/>
    </row>
    <row r="145" spans="3:15">
      <c r="C145" s="262"/>
      <c r="E145" s="273"/>
      <c r="F145" s="274"/>
      <c r="N145" s="273"/>
      <c r="O145" s="274"/>
    </row>
    <row r="146" spans="3:15">
      <c r="C146" s="262"/>
      <c r="E146" s="273"/>
      <c r="F146" s="274"/>
      <c r="N146" s="273"/>
      <c r="O146" s="274"/>
    </row>
    <row r="147" spans="3:15">
      <c r="C147" s="262"/>
      <c r="E147" s="273"/>
      <c r="F147" s="274"/>
      <c r="N147" s="273"/>
      <c r="O147" s="274"/>
    </row>
    <row r="148" spans="3:15">
      <c r="C148" s="262"/>
      <c r="E148" s="273"/>
      <c r="F148" s="274"/>
      <c r="N148" s="273"/>
      <c r="O148" s="274"/>
    </row>
    <row r="149" spans="3:15">
      <c r="C149" s="262"/>
      <c r="E149" s="273"/>
      <c r="F149" s="274"/>
      <c r="N149" s="273"/>
      <c r="O149" s="274"/>
    </row>
    <row r="150" spans="3:15">
      <c r="C150" s="262"/>
      <c r="E150" s="273"/>
      <c r="F150" s="274"/>
      <c r="N150" s="273"/>
      <c r="O150" s="274"/>
    </row>
    <row r="151" spans="3:15">
      <c r="C151" s="262"/>
      <c r="E151" s="273"/>
      <c r="F151" s="274"/>
      <c r="N151" s="273"/>
      <c r="O151" s="274"/>
    </row>
    <row r="152" spans="3:15">
      <c r="C152" s="262"/>
      <c r="E152" s="273"/>
      <c r="F152" s="274"/>
      <c r="N152" s="273"/>
      <c r="O152" s="274"/>
    </row>
    <row r="153" spans="3:15">
      <c r="C153" s="262"/>
      <c r="E153" s="273"/>
      <c r="F153" s="274"/>
      <c r="N153" s="273"/>
      <c r="O153" s="274"/>
    </row>
    <row r="154" spans="3:15">
      <c r="C154" s="262"/>
      <c r="E154" s="273"/>
      <c r="F154" s="274"/>
      <c r="N154" s="273"/>
      <c r="O154" s="274"/>
    </row>
    <row r="155" spans="3:15">
      <c r="C155" s="262"/>
      <c r="E155" s="273"/>
      <c r="F155" s="274"/>
      <c r="N155" s="273"/>
      <c r="O155" s="274"/>
    </row>
    <row r="156" spans="3:15">
      <c r="C156" s="262"/>
      <c r="E156" s="273"/>
      <c r="F156" s="274"/>
      <c r="N156" s="273"/>
      <c r="O156" s="274"/>
    </row>
    <row r="157" spans="3:15">
      <c r="C157" s="262"/>
      <c r="E157" s="273"/>
      <c r="F157" s="274"/>
      <c r="N157" s="273"/>
      <c r="O157" s="274"/>
    </row>
    <row r="158" spans="3:15">
      <c r="C158" s="262"/>
      <c r="E158" s="273"/>
      <c r="F158" s="274"/>
      <c r="N158" s="273"/>
      <c r="O158" s="274"/>
    </row>
    <row r="159" spans="3:15">
      <c r="C159" s="262"/>
      <c r="E159" s="273"/>
      <c r="F159" s="274"/>
      <c r="N159" s="273"/>
      <c r="O159" s="274"/>
    </row>
    <row r="160" spans="3:15">
      <c r="C160" s="262"/>
      <c r="E160" s="273"/>
      <c r="F160" s="274"/>
      <c r="N160" s="273"/>
      <c r="O160" s="274"/>
    </row>
    <row r="161" spans="3:15">
      <c r="C161" s="262"/>
      <c r="E161" s="273"/>
      <c r="F161" s="274"/>
      <c r="N161" s="273"/>
      <c r="O161" s="274"/>
    </row>
    <row r="162" spans="3:15">
      <c r="C162" s="262"/>
      <c r="E162" s="273"/>
      <c r="F162" s="274"/>
      <c r="N162" s="273"/>
      <c r="O162" s="274"/>
    </row>
    <row r="163" spans="3:15">
      <c r="C163" s="262"/>
      <c r="E163" s="273"/>
      <c r="F163" s="274"/>
      <c r="N163" s="273"/>
      <c r="O163" s="274"/>
    </row>
    <row r="164" spans="3:15">
      <c r="C164" s="262"/>
      <c r="E164" s="273"/>
      <c r="F164" s="274"/>
      <c r="N164" s="273"/>
      <c r="O164" s="274"/>
    </row>
    <row r="165" spans="3:15">
      <c r="C165" s="262"/>
      <c r="E165" s="273"/>
      <c r="F165" s="274"/>
      <c r="N165" s="273"/>
      <c r="O165" s="274"/>
    </row>
    <row r="166" spans="3:15">
      <c r="C166" s="262"/>
      <c r="E166" s="273"/>
      <c r="F166" s="274"/>
      <c r="N166" s="273"/>
      <c r="O166" s="274"/>
    </row>
    <row r="167" spans="3:15">
      <c r="C167" s="262"/>
      <c r="E167" s="273"/>
      <c r="F167" s="274"/>
      <c r="N167" s="273"/>
      <c r="O167" s="274"/>
    </row>
    <row r="168" spans="3:15">
      <c r="C168" s="262"/>
      <c r="E168" s="273"/>
      <c r="F168" s="274"/>
      <c r="N168" s="273"/>
      <c r="O168" s="274"/>
    </row>
    <row r="169" spans="3:15">
      <c r="C169" s="262"/>
      <c r="E169" s="273"/>
      <c r="F169" s="274"/>
      <c r="N169" s="273"/>
      <c r="O169" s="274"/>
    </row>
    <row r="170" spans="3:15">
      <c r="C170" s="262"/>
      <c r="E170" s="273"/>
      <c r="F170" s="274"/>
      <c r="N170" s="273"/>
      <c r="O170" s="274"/>
    </row>
    <row r="171" spans="3:15">
      <c r="C171" s="262"/>
      <c r="E171" s="273"/>
      <c r="F171" s="274"/>
      <c r="N171" s="273"/>
      <c r="O171" s="274"/>
    </row>
    <row r="172" spans="3:15">
      <c r="C172" s="262"/>
      <c r="E172" s="273"/>
      <c r="F172" s="274"/>
      <c r="N172" s="273"/>
      <c r="O172" s="274"/>
    </row>
    <row r="173" spans="3:15">
      <c r="C173" s="262"/>
      <c r="E173" s="273"/>
      <c r="F173" s="274"/>
      <c r="N173" s="273"/>
      <c r="O173" s="274"/>
    </row>
    <row r="174" spans="3:15">
      <c r="C174" s="262"/>
      <c r="E174" s="273"/>
      <c r="F174" s="274"/>
      <c r="N174" s="273"/>
      <c r="O174" s="274"/>
    </row>
    <row r="175" spans="3:15">
      <c r="C175" s="262"/>
      <c r="E175" s="273"/>
      <c r="F175" s="274"/>
      <c r="N175" s="273"/>
      <c r="O175" s="274"/>
    </row>
    <row r="176" spans="3:15">
      <c r="C176" s="262"/>
      <c r="E176" s="273"/>
      <c r="F176" s="274"/>
      <c r="N176" s="273"/>
      <c r="O176" s="274"/>
    </row>
    <row r="177" spans="3:15">
      <c r="C177" s="262"/>
      <c r="E177" s="273"/>
      <c r="F177" s="274"/>
      <c r="N177" s="273"/>
      <c r="O177" s="274"/>
    </row>
    <row r="178" spans="3:15">
      <c r="C178" s="262"/>
      <c r="E178" s="273"/>
      <c r="F178" s="274"/>
      <c r="N178" s="273"/>
      <c r="O178" s="274"/>
    </row>
    <row r="179" spans="3:15">
      <c r="C179" s="262"/>
      <c r="E179" s="273"/>
      <c r="F179" s="274"/>
      <c r="N179" s="273"/>
      <c r="O179" s="274"/>
    </row>
    <row r="180" spans="3:15">
      <c r="C180" s="262"/>
      <c r="E180" s="273"/>
      <c r="F180" s="274"/>
      <c r="N180" s="273"/>
      <c r="O180" s="274"/>
    </row>
    <row r="181" spans="3:15">
      <c r="C181" s="262"/>
      <c r="E181" s="273"/>
      <c r="F181" s="274"/>
      <c r="N181" s="273"/>
      <c r="O181" s="274"/>
    </row>
    <row r="182" spans="3:15">
      <c r="C182" s="262"/>
      <c r="E182" s="273"/>
      <c r="F182" s="274"/>
      <c r="N182" s="273"/>
      <c r="O182" s="274"/>
    </row>
    <row r="183" spans="3:15">
      <c r="C183" s="262"/>
      <c r="E183" s="273"/>
      <c r="F183" s="274"/>
      <c r="N183" s="273"/>
      <c r="O183" s="274"/>
    </row>
    <row r="184" spans="3:15">
      <c r="C184" s="262"/>
      <c r="E184" s="273"/>
      <c r="F184" s="274"/>
      <c r="N184" s="273"/>
      <c r="O184" s="274"/>
    </row>
    <row r="185" spans="3:15">
      <c r="C185" s="262"/>
      <c r="E185" s="273"/>
      <c r="F185" s="274"/>
      <c r="N185" s="273"/>
      <c r="O185" s="274"/>
    </row>
    <row r="186" spans="3:15">
      <c r="C186" s="262"/>
      <c r="E186" s="273"/>
      <c r="F186" s="274"/>
      <c r="N186" s="273"/>
      <c r="O186" s="274"/>
    </row>
    <row r="187" spans="3:15">
      <c r="C187" s="262"/>
      <c r="E187" s="273"/>
      <c r="F187" s="274"/>
      <c r="N187" s="273"/>
      <c r="O187" s="274"/>
    </row>
    <row r="188" spans="3:15">
      <c r="C188" s="262"/>
      <c r="E188" s="273"/>
      <c r="F188" s="274"/>
      <c r="N188" s="273"/>
      <c r="O188" s="274"/>
    </row>
    <row r="189" spans="3:15">
      <c r="C189" s="262"/>
      <c r="E189" s="273"/>
      <c r="F189" s="274"/>
      <c r="N189" s="273"/>
      <c r="O189" s="274"/>
    </row>
    <row r="190" spans="3:15">
      <c r="C190" s="262"/>
      <c r="E190" s="273"/>
      <c r="F190" s="274"/>
      <c r="N190" s="273"/>
      <c r="O190" s="274"/>
    </row>
    <row r="191" spans="3:15">
      <c r="C191" s="262"/>
      <c r="E191" s="273"/>
      <c r="F191" s="274"/>
      <c r="N191" s="273"/>
      <c r="O191" s="274"/>
    </row>
    <row r="192" spans="3:15">
      <c r="C192" s="262"/>
      <c r="E192" s="273"/>
      <c r="F192" s="274"/>
      <c r="N192" s="273"/>
      <c r="O192" s="274"/>
    </row>
    <row r="193" spans="3:15">
      <c r="C193" s="262"/>
      <c r="E193" s="273"/>
      <c r="F193" s="274"/>
      <c r="N193" s="273"/>
      <c r="O193" s="274"/>
    </row>
    <row r="194" spans="3:15">
      <c r="C194" s="262"/>
      <c r="E194" s="273"/>
      <c r="F194" s="274"/>
      <c r="N194" s="273"/>
      <c r="O194" s="274"/>
    </row>
    <row r="195" spans="3:15">
      <c r="C195" s="262"/>
      <c r="E195" s="273"/>
      <c r="F195" s="274"/>
      <c r="N195" s="273"/>
      <c r="O195" s="274"/>
    </row>
    <row r="196" spans="3:15">
      <c r="C196" s="262"/>
      <c r="E196" s="273"/>
      <c r="F196" s="274"/>
      <c r="N196" s="273"/>
      <c r="O196" s="274"/>
    </row>
    <row r="197" spans="3:15">
      <c r="C197" s="262"/>
      <c r="E197" s="273"/>
      <c r="F197" s="274"/>
      <c r="N197" s="273"/>
      <c r="O197" s="274"/>
    </row>
    <row r="198" spans="3:15">
      <c r="C198" s="262"/>
      <c r="E198" s="273"/>
      <c r="F198" s="274"/>
      <c r="N198" s="273"/>
      <c r="O198" s="274"/>
    </row>
    <row r="199" spans="3:15">
      <c r="C199" s="262"/>
      <c r="E199" s="273"/>
      <c r="F199" s="274"/>
      <c r="N199" s="273"/>
      <c r="O199" s="274"/>
    </row>
    <row r="200" spans="3:15">
      <c r="C200" s="262"/>
      <c r="E200" s="273"/>
      <c r="F200" s="274"/>
      <c r="N200" s="273"/>
      <c r="O200" s="274"/>
    </row>
    <row r="201" spans="3:15">
      <c r="C201" s="262"/>
      <c r="E201" s="273"/>
      <c r="F201" s="274"/>
      <c r="N201" s="273"/>
      <c r="O201" s="274"/>
    </row>
    <row r="202" spans="3:15">
      <c r="C202" s="262"/>
      <c r="E202" s="273"/>
      <c r="F202" s="274"/>
      <c r="N202" s="273"/>
      <c r="O202" s="274"/>
    </row>
    <row r="203" spans="3:15">
      <c r="C203" s="262"/>
      <c r="E203" s="273"/>
      <c r="F203" s="274"/>
      <c r="N203" s="273"/>
      <c r="O203" s="274"/>
    </row>
    <row r="204" spans="3:15">
      <c r="C204" s="262"/>
      <c r="E204" s="273"/>
      <c r="F204" s="274"/>
      <c r="N204" s="273"/>
      <c r="O204" s="274"/>
    </row>
    <row r="205" spans="3:15">
      <c r="C205" s="262"/>
      <c r="E205" s="273"/>
      <c r="F205" s="274"/>
      <c r="N205" s="273"/>
      <c r="O205" s="274"/>
    </row>
    <row r="206" spans="3:15">
      <c r="C206" s="262"/>
      <c r="E206" s="273"/>
      <c r="F206" s="274"/>
      <c r="N206" s="273"/>
      <c r="O206" s="274"/>
    </row>
    <row r="207" spans="3:15">
      <c r="C207" s="262"/>
      <c r="E207" s="273"/>
      <c r="F207" s="274"/>
      <c r="N207" s="273"/>
      <c r="O207" s="274"/>
    </row>
    <row r="208" spans="3:15">
      <c r="C208" s="262"/>
      <c r="E208" s="273"/>
      <c r="F208" s="274"/>
      <c r="N208" s="273"/>
      <c r="O208" s="274"/>
    </row>
    <row r="209" spans="3:15">
      <c r="C209" s="262"/>
      <c r="E209" s="273"/>
      <c r="F209" s="274"/>
      <c r="N209" s="273"/>
      <c r="O209" s="274"/>
    </row>
    <row r="210" spans="3:15">
      <c r="C210" s="262"/>
      <c r="E210" s="273"/>
      <c r="F210" s="274"/>
      <c r="N210" s="273"/>
      <c r="O210" s="274"/>
    </row>
    <row r="211" spans="3:15">
      <c r="C211" s="262"/>
      <c r="E211" s="273"/>
      <c r="F211" s="274"/>
      <c r="N211" s="273"/>
      <c r="O211" s="274"/>
    </row>
    <row r="212" spans="3:15">
      <c r="C212" s="262"/>
      <c r="E212" s="273"/>
      <c r="F212" s="274"/>
      <c r="N212" s="273"/>
      <c r="O212" s="274"/>
    </row>
    <row r="213" spans="3:15">
      <c r="C213" s="262"/>
      <c r="E213" s="273"/>
      <c r="F213" s="274"/>
      <c r="N213" s="273"/>
      <c r="O213" s="274"/>
    </row>
    <row r="214" spans="3:15">
      <c r="C214" s="262"/>
      <c r="E214" s="273"/>
      <c r="F214" s="274"/>
      <c r="N214" s="273"/>
      <c r="O214" s="274"/>
    </row>
    <row r="215" spans="3:15">
      <c r="C215" s="262"/>
      <c r="E215" s="273"/>
      <c r="F215" s="274"/>
      <c r="N215" s="273"/>
      <c r="O215" s="274"/>
    </row>
    <row r="216" spans="3:15">
      <c r="C216" s="262"/>
      <c r="E216" s="273"/>
      <c r="F216" s="274"/>
      <c r="N216" s="273"/>
      <c r="O216" s="274"/>
    </row>
    <row r="217" spans="3:15">
      <c r="C217" s="262"/>
      <c r="E217" s="273"/>
      <c r="F217" s="274"/>
      <c r="N217" s="273"/>
      <c r="O217" s="274"/>
    </row>
    <row r="218" spans="3:15">
      <c r="C218" s="262"/>
      <c r="E218" s="273"/>
      <c r="F218" s="274"/>
      <c r="N218" s="273"/>
      <c r="O218" s="274"/>
    </row>
    <row r="219" spans="3:15">
      <c r="C219" s="262"/>
      <c r="E219" s="273"/>
      <c r="F219" s="274"/>
      <c r="N219" s="273"/>
      <c r="O219" s="274"/>
    </row>
    <row r="220" spans="3:15">
      <c r="C220" s="262"/>
      <c r="E220" s="273"/>
      <c r="F220" s="274"/>
      <c r="N220" s="273"/>
      <c r="O220" s="274"/>
    </row>
    <row r="221" spans="3:15">
      <c r="C221" s="262"/>
      <c r="E221" s="273"/>
      <c r="F221" s="274"/>
      <c r="N221" s="273"/>
      <c r="O221" s="274"/>
    </row>
    <row r="222" spans="3:15">
      <c r="C222" s="262"/>
      <c r="E222" s="273"/>
      <c r="F222" s="274"/>
      <c r="N222" s="273"/>
      <c r="O222" s="274"/>
    </row>
    <row r="223" spans="3:15">
      <c r="C223" s="262"/>
      <c r="E223" s="273"/>
      <c r="F223" s="274"/>
      <c r="N223" s="273"/>
      <c r="O223" s="274"/>
    </row>
    <row r="224" spans="3:15">
      <c r="C224" s="262"/>
      <c r="E224" s="273"/>
      <c r="F224" s="274"/>
      <c r="N224" s="273"/>
      <c r="O224" s="274"/>
    </row>
    <row r="225" spans="3:15">
      <c r="C225" s="262"/>
      <c r="E225" s="273"/>
      <c r="F225" s="274"/>
      <c r="N225" s="273"/>
      <c r="O225" s="274"/>
    </row>
    <row r="226" spans="3:15">
      <c r="C226" s="262"/>
      <c r="E226" s="273"/>
      <c r="F226" s="274"/>
      <c r="N226" s="273"/>
      <c r="O226" s="274"/>
    </row>
    <row r="227" spans="3:15">
      <c r="C227" s="262"/>
      <c r="E227" s="273"/>
      <c r="F227" s="274"/>
      <c r="N227" s="273"/>
      <c r="O227" s="274"/>
    </row>
    <row r="228" spans="3:15">
      <c r="C228" s="262"/>
      <c r="E228" s="273"/>
      <c r="F228" s="274"/>
      <c r="N228" s="273"/>
      <c r="O228" s="274"/>
    </row>
    <row r="229" spans="3:15">
      <c r="C229" s="262"/>
      <c r="E229" s="273"/>
      <c r="F229" s="274"/>
      <c r="N229" s="273"/>
      <c r="O229" s="274"/>
    </row>
    <row r="230" spans="3:15">
      <c r="C230" s="262"/>
      <c r="E230" s="273"/>
      <c r="F230" s="274"/>
      <c r="N230" s="273"/>
      <c r="O230" s="274"/>
    </row>
    <row r="231" spans="3:15">
      <c r="C231" s="262"/>
      <c r="E231" s="273"/>
      <c r="F231" s="274"/>
      <c r="N231" s="273"/>
      <c r="O231" s="274"/>
    </row>
    <row r="232" spans="3:15">
      <c r="C232" s="262"/>
      <c r="E232" s="273"/>
      <c r="F232" s="274"/>
      <c r="N232" s="273"/>
      <c r="O232" s="274"/>
    </row>
    <row r="233" spans="3:15">
      <c r="C233" s="262"/>
      <c r="E233" s="273"/>
      <c r="F233" s="274"/>
      <c r="N233" s="273"/>
      <c r="O233" s="274"/>
    </row>
    <row r="234" spans="3:15">
      <c r="C234" s="262"/>
      <c r="E234" s="273"/>
      <c r="F234" s="274"/>
      <c r="N234" s="273"/>
      <c r="O234" s="274"/>
    </row>
    <row r="235" spans="3:15">
      <c r="C235" s="262"/>
      <c r="E235" s="273"/>
      <c r="F235" s="274"/>
      <c r="N235" s="273"/>
      <c r="O235" s="274"/>
    </row>
    <row r="236" spans="3:15">
      <c r="C236" s="262"/>
      <c r="E236" s="273"/>
      <c r="F236" s="274"/>
      <c r="N236" s="273"/>
      <c r="O236" s="274"/>
    </row>
    <row r="237" spans="3:15">
      <c r="C237" s="262"/>
      <c r="E237" s="273"/>
      <c r="F237" s="274"/>
      <c r="N237" s="273"/>
      <c r="O237" s="274"/>
    </row>
    <row r="238" spans="3:15">
      <c r="C238" s="262"/>
      <c r="E238" s="273"/>
      <c r="F238" s="274"/>
      <c r="N238" s="273"/>
      <c r="O238" s="274"/>
    </row>
    <row r="239" spans="3:15">
      <c r="C239" s="262"/>
      <c r="E239" s="273"/>
      <c r="F239" s="274"/>
      <c r="N239" s="273"/>
      <c r="O239" s="274"/>
    </row>
    <row r="240" spans="3:15">
      <c r="C240" s="262"/>
      <c r="E240" s="273"/>
      <c r="F240" s="274"/>
      <c r="N240" s="273"/>
      <c r="O240" s="274"/>
    </row>
    <row r="241" spans="3:15">
      <c r="C241" s="262"/>
      <c r="F241" s="274"/>
      <c r="O241" s="274"/>
    </row>
    <row r="242" spans="3:15">
      <c r="C242" s="262"/>
      <c r="F242" s="274"/>
      <c r="O242" s="274"/>
    </row>
    <row r="243" spans="3:15">
      <c r="C243" s="262"/>
      <c r="F243" s="274"/>
      <c r="O243" s="274"/>
    </row>
    <row r="244" spans="3:15">
      <c r="C244" s="262"/>
      <c r="F244" s="274"/>
      <c r="O244" s="274"/>
    </row>
    <row r="245" spans="3:15">
      <c r="C245" s="262"/>
      <c r="F245" s="274"/>
      <c r="O245" s="274"/>
    </row>
    <row r="246" spans="3:15">
      <c r="C246" s="262"/>
      <c r="F246" s="274"/>
      <c r="O246" s="274"/>
    </row>
    <row r="247" spans="3:15">
      <c r="C247" s="262"/>
      <c r="F247" s="274"/>
      <c r="O247" s="274"/>
    </row>
    <row r="248" spans="3:15">
      <c r="C248" s="262"/>
      <c r="F248" s="274"/>
      <c r="O248" s="274"/>
    </row>
    <row r="249" spans="3:15">
      <c r="C249" s="262"/>
      <c r="F249" s="274"/>
      <c r="O249" s="274"/>
    </row>
    <row r="250" spans="3:15">
      <c r="C250" s="262"/>
      <c r="F250" s="274"/>
      <c r="O250" s="274"/>
    </row>
    <row r="251" spans="3:15">
      <c r="C251" s="262"/>
      <c r="F251" s="274"/>
      <c r="O251" s="274"/>
    </row>
    <row r="252" spans="3:15">
      <c r="C252" s="262"/>
      <c r="F252" s="274"/>
      <c r="O252" s="274"/>
    </row>
    <row r="253" spans="3:15">
      <c r="C253" s="262"/>
      <c r="F253" s="274"/>
      <c r="O253" s="274"/>
    </row>
    <row r="254" spans="3:15">
      <c r="C254" s="262"/>
      <c r="F254" s="274"/>
      <c r="O254" s="274"/>
    </row>
    <row r="255" spans="3:15">
      <c r="C255" s="262"/>
      <c r="F255" s="274"/>
      <c r="O255" s="274"/>
    </row>
    <row r="256" spans="3:15">
      <c r="C256" s="262"/>
      <c r="F256" s="274"/>
      <c r="O256" s="274"/>
    </row>
    <row r="257" spans="3:15">
      <c r="C257" s="262"/>
      <c r="F257" s="274"/>
      <c r="O257" s="274"/>
    </row>
    <row r="258" spans="3:15">
      <c r="C258" s="262"/>
      <c r="F258" s="274"/>
      <c r="O258" s="274"/>
    </row>
    <row r="259" spans="3:15">
      <c r="C259" s="262"/>
      <c r="F259" s="274"/>
      <c r="O259" s="274"/>
    </row>
    <row r="260" spans="3:15">
      <c r="C260" s="262"/>
      <c r="F260" s="274"/>
      <c r="O260" s="274"/>
    </row>
    <row r="261" spans="3:15">
      <c r="C261" s="262"/>
      <c r="F261" s="274"/>
      <c r="O261" s="274"/>
    </row>
    <row r="262" spans="3:15">
      <c r="C262" s="262"/>
      <c r="F262" s="274"/>
      <c r="O262" s="274"/>
    </row>
    <row r="263" spans="3:15">
      <c r="C263" s="262"/>
      <c r="F263" s="274"/>
      <c r="O263" s="274"/>
    </row>
    <row r="264" spans="3:15">
      <c r="C264" s="262"/>
      <c r="F264" s="274"/>
      <c r="O264" s="274"/>
    </row>
    <row r="265" spans="3:15">
      <c r="C265" s="262"/>
      <c r="F265" s="274"/>
      <c r="O265" s="274"/>
    </row>
    <row r="266" spans="3:15">
      <c r="C266" s="262"/>
      <c r="F266" s="274"/>
      <c r="O266" s="274"/>
    </row>
    <row r="267" spans="3:15">
      <c r="C267" s="262"/>
      <c r="F267" s="274"/>
      <c r="O267" s="274"/>
    </row>
    <row r="268" spans="3:15">
      <c r="C268" s="262"/>
      <c r="F268" s="274"/>
      <c r="O268" s="274"/>
    </row>
    <row r="269" spans="3:15">
      <c r="C269" s="262"/>
      <c r="F269" s="274"/>
      <c r="O269" s="274"/>
    </row>
    <row r="270" spans="3:15">
      <c r="C270" s="262"/>
      <c r="F270" s="274"/>
      <c r="O270" s="274"/>
    </row>
    <row r="271" spans="3:15">
      <c r="C271" s="262"/>
      <c r="F271" s="274"/>
      <c r="O271" s="274"/>
    </row>
    <row r="272" spans="3:15">
      <c r="F272" s="274"/>
      <c r="O272" s="274"/>
    </row>
    <row r="273" spans="6:15">
      <c r="F273" s="274"/>
      <c r="O273" s="274"/>
    </row>
    <row r="274" spans="6:15">
      <c r="F274" s="274"/>
      <c r="O274" s="274"/>
    </row>
    <row r="275" spans="6:15">
      <c r="F275" s="274"/>
      <c r="O275" s="274"/>
    </row>
    <row r="276" spans="6:15">
      <c r="F276" s="274"/>
      <c r="O276" s="274"/>
    </row>
    <row r="277" spans="6:15">
      <c r="F277" s="274"/>
      <c r="O277" s="274"/>
    </row>
    <row r="278" spans="6:15">
      <c r="F278" s="274"/>
      <c r="O278" s="274"/>
    </row>
    <row r="279" spans="6:15">
      <c r="F279" s="274"/>
      <c r="O279" s="274"/>
    </row>
    <row r="280" spans="6:15">
      <c r="F280" s="274"/>
      <c r="O280" s="274"/>
    </row>
    <row r="281" spans="6:15">
      <c r="F281" s="274"/>
      <c r="O281" s="274"/>
    </row>
    <row r="282" spans="6:15">
      <c r="F282" s="274"/>
      <c r="O282" s="274"/>
    </row>
    <row r="283" spans="6:15">
      <c r="F283" s="274"/>
      <c r="O283" s="274"/>
    </row>
    <row r="284" spans="6:15">
      <c r="F284" s="274"/>
      <c r="O284" s="274"/>
    </row>
    <row r="285" spans="6:15">
      <c r="F285" s="274"/>
      <c r="O285" s="274"/>
    </row>
    <row r="286" spans="6:15">
      <c r="F286" s="274"/>
      <c r="O286" s="274"/>
    </row>
    <row r="287" spans="6:15">
      <c r="F287" s="274"/>
      <c r="O287" s="274"/>
    </row>
    <row r="288" spans="6:15">
      <c r="F288" s="274"/>
      <c r="O288" s="274"/>
    </row>
    <row r="289" spans="6:15">
      <c r="F289" s="274"/>
      <c r="O289" s="274"/>
    </row>
    <row r="290" spans="6:15">
      <c r="F290" s="274"/>
      <c r="O290" s="274"/>
    </row>
    <row r="291" spans="6:15">
      <c r="F291" s="274"/>
      <c r="O291" s="274"/>
    </row>
    <row r="292" spans="6:15">
      <c r="F292" s="274"/>
      <c r="O292" s="274"/>
    </row>
    <row r="293" spans="6:15">
      <c r="F293" s="274"/>
      <c r="O293" s="274"/>
    </row>
    <row r="294" spans="6:15">
      <c r="F294" s="274"/>
      <c r="O294" s="274"/>
    </row>
    <row r="295" spans="6:15">
      <c r="F295" s="274"/>
      <c r="O295" s="274"/>
    </row>
    <row r="296" spans="6:15">
      <c r="F296" s="274"/>
      <c r="O296" s="274"/>
    </row>
    <row r="297" spans="6:15">
      <c r="F297" s="274"/>
      <c r="O297" s="274"/>
    </row>
    <row r="298" spans="6:15">
      <c r="F298" s="274"/>
      <c r="O298" s="274"/>
    </row>
    <row r="299" spans="6:15">
      <c r="F299" s="274"/>
      <c r="O299" s="274"/>
    </row>
    <row r="300" spans="6:15">
      <c r="F300" s="274"/>
      <c r="O300" s="274"/>
    </row>
    <row r="301" spans="6:15">
      <c r="F301" s="274"/>
      <c r="O301" s="274"/>
    </row>
    <row r="302" spans="6:15">
      <c r="F302" s="274"/>
      <c r="O302" s="274"/>
    </row>
    <row r="303" spans="6:15">
      <c r="F303" s="274"/>
      <c r="O303" s="274"/>
    </row>
    <row r="304" spans="6:15">
      <c r="F304" s="274"/>
      <c r="O304" s="274"/>
    </row>
    <row r="305" spans="6:15">
      <c r="F305" s="274"/>
      <c r="O305" s="274"/>
    </row>
    <row r="306" spans="6:15">
      <c r="F306" s="274"/>
      <c r="O306" s="274"/>
    </row>
    <row r="307" spans="6:15">
      <c r="F307" s="274"/>
      <c r="O307" s="274"/>
    </row>
    <row r="308" spans="6:15">
      <c r="F308" s="274"/>
      <c r="O308" s="274"/>
    </row>
    <row r="309" spans="6:15">
      <c r="F309" s="274"/>
      <c r="O309" s="274"/>
    </row>
    <row r="310" spans="6:15">
      <c r="F310" s="274"/>
      <c r="O310" s="274"/>
    </row>
    <row r="311" spans="6:15">
      <c r="F311" s="274"/>
      <c r="O311" s="274"/>
    </row>
    <row r="312" spans="6:15">
      <c r="F312" s="274"/>
      <c r="O312" s="274"/>
    </row>
    <row r="313" spans="6:15">
      <c r="F313" s="274"/>
      <c r="O313" s="274"/>
    </row>
    <row r="314" spans="6:15">
      <c r="F314" s="274"/>
      <c r="O314" s="274"/>
    </row>
    <row r="315" spans="6:15">
      <c r="F315" s="274"/>
      <c r="O315" s="274"/>
    </row>
    <row r="316" spans="6:15">
      <c r="F316" s="274"/>
      <c r="O316" s="274"/>
    </row>
    <row r="317" spans="6:15">
      <c r="F317" s="274"/>
      <c r="O317" s="274"/>
    </row>
    <row r="318" spans="6:15">
      <c r="F318" s="274"/>
      <c r="O318" s="274"/>
    </row>
    <row r="319" spans="6:15">
      <c r="F319" s="274"/>
      <c r="O319" s="274"/>
    </row>
    <row r="320" spans="6:15">
      <c r="F320" s="274"/>
      <c r="O320" s="274"/>
    </row>
    <row r="321" spans="6:15">
      <c r="F321" s="274"/>
      <c r="O321" s="274"/>
    </row>
    <row r="322" spans="6:15">
      <c r="F322" s="273"/>
      <c r="O322" s="273"/>
    </row>
    <row r="323" spans="6:15">
      <c r="F323" s="273"/>
      <c r="O323" s="273"/>
    </row>
  </sheetData>
  <sheetProtection formatCells="0" formatColumns="0" formatRows="0" insertColumns="0" insertRows="0" insertHyperlinks="0" deleteColumns="0" deleteRows="0" sort="0" autoFilter="0" pivotTables="0"/>
  <mergeCells count="52">
    <mergeCell ref="G64:L64"/>
    <mergeCell ref="G65:L65"/>
    <mergeCell ref="G66:L66"/>
    <mergeCell ref="G67:L67"/>
    <mergeCell ref="G68:L68"/>
    <mergeCell ref="G59:L59"/>
    <mergeCell ref="G60:L60"/>
    <mergeCell ref="G61:L61"/>
    <mergeCell ref="G62:L62"/>
    <mergeCell ref="G63:L63"/>
    <mergeCell ref="G54:L54"/>
    <mergeCell ref="G55:L55"/>
    <mergeCell ref="G56:L56"/>
    <mergeCell ref="G57:L57"/>
    <mergeCell ref="G58:L58"/>
    <mergeCell ref="G49:L49"/>
    <mergeCell ref="G50:L50"/>
    <mergeCell ref="G51:L51"/>
    <mergeCell ref="G52:L52"/>
    <mergeCell ref="G53:L53"/>
    <mergeCell ref="F29:M29"/>
    <mergeCell ref="C45:M45"/>
    <mergeCell ref="G46:L46"/>
    <mergeCell ref="G47:L47"/>
    <mergeCell ref="G48:L48"/>
    <mergeCell ref="C29:C30"/>
    <mergeCell ref="D29:D30"/>
    <mergeCell ref="G22:L22"/>
    <mergeCell ref="G23:L23"/>
    <mergeCell ref="G24:L24"/>
    <mergeCell ref="G25:L25"/>
    <mergeCell ref="C28:M28"/>
    <mergeCell ref="G17:L17"/>
    <mergeCell ref="G18:L18"/>
    <mergeCell ref="G19:L19"/>
    <mergeCell ref="G20:L20"/>
    <mergeCell ref="G21:L21"/>
    <mergeCell ref="G12:L12"/>
    <mergeCell ref="G13:L13"/>
    <mergeCell ref="G14:L14"/>
    <mergeCell ref="G15:L15"/>
    <mergeCell ref="G16:L16"/>
    <mergeCell ref="G7:L7"/>
    <mergeCell ref="G8:L8"/>
    <mergeCell ref="G9:L9"/>
    <mergeCell ref="G10:L10"/>
    <mergeCell ref="G11:L11"/>
    <mergeCell ref="B2:M2"/>
    <mergeCell ref="G3:L3"/>
    <mergeCell ref="G4:L4"/>
    <mergeCell ref="G5:L5"/>
    <mergeCell ref="G6:L6"/>
  </mergeCells>
  <phoneticPr fontId="52" type="noConversion"/>
  <conditionalFormatting sqref="F31:N42">
    <cfRule type="containsText" dxfId="19" priority="9" operator="containsText" text="zeitw. anw.">
      <formula>NOT(ISERROR(SEARCH("zeitw. anw.",F31)))</formula>
    </cfRule>
    <cfRule type="containsText" dxfId="18" priority="10" operator="containsText" text="nicht eingel.">
      <formula>NOT(ISERROR(SEARCH("nicht eingel.",F31)))</formula>
    </cfRule>
    <cfRule type="containsText" dxfId="17" priority="11" operator="containsText" text="abwesend">
      <formula>NOT(ISERROR(SEARCH("abwesend",F31)))</formula>
    </cfRule>
    <cfRule type="containsText" dxfId="16" priority="12" operator="containsText" text="anwesend">
      <formula>NOT(ISERROR(SEARCH("anwesend",F31)))</formula>
    </cfRule>
  </conditionalFormatting>
  <dataValidations count="1">
    <dataValidation type="list" allowBlank="1" showInputMessage="1" showErrorMessage="1" sqref="M4:M25 M47:M68" xr:uid="{00000000-0002-0000-0200-000000000000}">
      <formula1>Status</formula1>
    </dataValidation>
  </dataValidations>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G29"/>
  <sheetViews>
    <sheetView zoomScalePageLayoutView="120" workbookViewId="0">
      <selection activeCell="I6" sqref="I6"/>
    </sheetView>
  </sheetViews>
  <sheetFormatPr defaultColWidth="10.9140625" defaultRowHeight="14"/>
  <cols>
    <col min="1" max="1" width="27" customWidth="1"/>
    <col min="2" max="2" width="40.5" customWidth="1"/>
    <col min="3" max="3" width="20.4140625" customWidth="1"/>
    <col min="4" max="4" width="20.33203125" customWidth="1"/>
    <col min="5" max="5" width="20.4140625" customWidth="1"/>
    <col min="6" max="6" width="14.4140625" customWidth="1"/>
    <col min="7" max="7" width="17.4140625" customWidth="1"/>
    <col min="8" max="15" width="14.4140625" customWidth="1"/>
    <col min="16" max="16" width="15.4140625" customWidth="1"/>
  </cols>
  <sheetData>
    <row r="1" spans="1:7" ht="29" customHeight="1">
      <c r="A1" s="235" t="s">
        <v>123</v>
      </c>
      <c r="B1" s="235"/>
      <c r="C1" s="236"/>
      <c r="D1" s="237"/>
      <c r="E1" s="237"/>
      <c r="F1" s="237"/>
      <c r="G1" s="237"/>
    </row>
    <row r="2" spans="1:7" ht="15.5">
      <c r="A2" s="238" t="s">
        <v>124</v>
      </c>
      <c r="B2" s="238" t="s">
        <v>125</v>
      </c>
      <c r="C2" s="239"/>
      <c r="D2" s="237"/>
      <c r="E2" s="237"/>
      <c r="F2" s="237"/>
      <c r="G2" s="237"/>
    </row>
    <row r="3" spans="1:7" ht="15.5">
      <c r="A3" s="240" t="s">
        <v>126</v>
      </c>
      <c r="B3" s="241" t="s">
        <v>127</v>
      </c>
      <c r="C3" s="242"/>
      <c r="D3" s="237"/>
      <c r="E3" s="237"/>
      <c r="F3" s="237"/>
      <c r="G3" s="237"/>
    </row>
    <row r="4" spans="1:7" ht="31">
      <c r="A4" s="243" t="s">
        <v>128</v>
      </c>
      <c r="B4" s="244" t="s">
        <v>129</v>
      </c>
      <c r="C4" s="242"/>
      <c r="D4" s="237"/>
      <c r="E4" s="237"/>
      <c r="F4" s="237"/>
      <c r="G4" s="237"/>
    </row>
    <row r="5" spans="1:7" ht="31">
      <c r="A5" s="243" t="s">
        <v>130</v>
      </c>
      <c r="B5" s="244" t="s">
        <v>131</v>
      </c>
      <c r="C5" s="242"/>
      <c r="D5" s="237"/>
      <c r="E5" s="237"/>
      <c r="F5" s="237"/>
      <c r="G5" s="237"/>
    </row>
    <row r="6" spans="1:7" ht="15.5">
      <c r="A6" s="243" t="s">
        <v>132</v>
      </c>
      <c r="B6" s="244" t="s">
        <v>133</v>
      </c>
      <c r="C6" s="242"/>
      <c r="D6" s="237"/>
      <c r="E6" s="237"/>
      <c r="F6" s="237"/>
      <c r="G6" s="237"/>
    </row>
    <row r="7" spans="1:7" ht="15.5">
      <c r="A7" s="243" t="s">
        <v>134</v>
      </c>
      <c r="B7" s="244" t="s">
        <v>135</v>
      </c>
      <c r="C7" s="242"/>
    </row>
    <row r="8" spans="1:7" ht="15.5">
      <c r="A8" s="243" t="s">
        <v>136</v>
      </c>
      <c r="B8" s="244" t="s">
        <v>137</v>
      </c>
      <c r="C8" s="242"/>
    </row>
    <row r="9" spans="1:7" ht="15.5">
      <c r="A9" s="245" t="s">
        <v>138</v>
      </c>
      <c r="B9" s="246" t="s">
        <v>139</v>
      </c>
      <c r="C9" s="247"/>
    </row>
    <row r="10" spans="1:7" ht="15.5">
      <c r="A10" s="243" t="s">
        <v>140</v>
      </c>
      <c r="B10" s="244" t="s">
        <v>141</v>
      </c>
      <c r="C10" s="242"/>
    </row>
    <row r="11" spans="1:7" ht="15.5">
      <c r="A11" s="243" t="s">
        <v>142</v>
      </c>
      <c r="B11" s="244" t="s">
        <v>143</v>
      </c>
      <c r="C11" s="242"/>
    </row>
    <row r="12" spans="1:7" ht="31">
      <c r="A12" s="243" t="s">
        <v>144</v>
      </c>
      <c r="B12" s="244" t="s">
        <v>145</v>
      </c>
      <c r="C12" s="242"/>
    </row>
    <row r="13" spans="1:7" ht="15.5">
      <c r="A13" s="243" t="s">
        <v>146</v>
      </c>
      <c r="B13" s="244" t="s">
        <v>147</v>
      </c>
      <c r="C13" s="242"/>
    </row>
    <row r="14" spans="1:7" ht="15.5">
      <c r="A14" s="243" t="s">
        <v>148</v>
      </c>
      <c r="B14" s="244" t="s">
        <v>149</v>
      </c>
      <c r="C14" s="242"/>
    </row>
    <row r="15" spans="1:7" ht="31">
      <c r="A15" s="243" t="s">
        <v>150</v>
      </c>
      <c r="B15" s="244" t="s">
        <v>151</v>
      </c>
      <c r="C15" s="242"/>
    </row>
    <row r="16" spans="1:7" ht="31">
      <c r="A16" s="248" t="s">
        <v>152</v>
      </c>
      <c r="B16" s="249" t="s">
        <v>153</v>
      </c>
      <c r="C16" s="242"/>
    </row>
    <row r="17" spans="1:1">
      <c r="A17" s="236"/>
    </row>
    <row r="18" spans="1:1">
      <c r="A18" s="236"/>
    </row>
    <row r="20" spans="1:1">
      <c r="A20" s="250"/>
    </row>
    <row r="21" spans="1:1">
      <c r="A21" s="250"/>
    </row>
    <row r="22" spans="1:1">
      <c r="A22" s="250"/>
    </row>
    <row r="23" spans="1:1">
      <c r="A23" s="250"/>
    </row>
    <row r="24" spans="1:1">
      <c r="A24" s="250"/>
    </row>
    <row r="25" spans="1:1">
      <c r="A25" s="250"/>
    </row>
    <row r="26" spans="1:1">
      <c r="A26" s="250"/>
    </row>
    <row r="27" spans="1:1">
      <c r="A27" s="250"/>
    </row>
    <row r="28" spans="1:1">
      <c r="A28" s="250"/>
    </row>
    <row r="29" spans="1:1">
      <c r="A29" s="250"/>
    </row>
  </sheetData>
  <sheetProtection formatCells="0" formatColumns="0" formatRows="0" insertColumns="0" insertRows="0" insertHyperlinks="0" deleteColumns="0" deleteRows="0" sort="0" autoFilter="0" pivotTables="0"/>
  <phoneticPr fontId="52" type="noConversion"/>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outlinePr summaryBelow="0" summaryRight="0"/>
  </sheetPr>
  <dimension ref="A1:U16"/>
  <sheetViews>
    <sheetView showGridLines="0" zoomScale="85" zoomScaleNormal="85" zoomScalePageLayoutView="82" workbookViewId="0">
      <selection activeCell="F7" sqref="F7"/>
    </sheetView>
  </sheetViews>
  <sheetFormatPr defaultColWidth="26.25" defaultRowHeight="27"/>
  <cols>
    <col min="1" max="1" width="20" style="205" customWidth="1"/>
    <col min="2" max="2" width="17.4140625" style="50" customWidth="1"/>
    <col min="3" max="3" width="19.75" style="50" customWidth="1"/>
    <col min="4" max="4" width="17.75" style="50" customWidth="1"/>
    <col min="5" max="5" width="22.25" style="50" customWidth="1"/>
    <col min="6" max="6" width="30.75" style="50" customWidth="1"/>
    <col min="7" max="7" width="35.75" style="50" customWidth="1"/>
    <col min="8" max="9" width="33.4140625" style="50" customWidth="1"/>
    <col min="10" max="10" width="3.75" style="206" customWidth="1"/>
    <col min="11" max="11" width="24.25" style="50" customWidth="1"/>
    <col min="12" max="12" width="3.75" style="206" customWidth="1"/>
    <col min="13" max="13" width="6.4140625" style="206" customWidth="1"/>
    <col min="14" max="14" width="25.25" style="50" customWidth="1"/>
    <col min="15" max="15" width="3.75" style="206" customWidth="1"/>
    <col min="16" max="16" width="30.4140625" style="50" customWidth="1"/>
    <col min="17" max="17" width="12.25" style="207" customWidth="1"/>
    <col min="18" max="18" width="9.25" style="207" customWidth="1"/>
    <col min="19" max="19" width="31.4140625" style="207" customWidth="1"/>
    <col min="20" max="20" width="35.75" style="50" customWidth="1"/>
    <col min="21" max="21" width="16.25" style="50" customWidth="1"/>
    <col min="22" max="22" width="6.75" style="50" customWidth="1"/>
    <col min="23" max="23" width="7.4140625" style="50" customWidth="1"/>
    <col min="24" max="16384" width="26.25" style="50"/>
  </cols>
  <sheetData>
    <row r="1" spans="1:21" ht="19.5" customHeight="1" thickBot="1">
      <c r="A1" s="421"/>
      <c r="B1" s="422"/>
      <c r="C1" s="422"/>
      <c r="D1" s="422"/>
      <c r="E1" s="422"/>
      <c r="F1" s="422"/>
      <c r="G1" s="422"/>
      <c r="H1" s="422"/>
      <c r="I1" s="422"/>
      <c r="J1" s="422"/>
      <c r="K1" s="422"/>
      <c r="L1" s="422"/>
      <c r="M1" s="422"/>
      <c r="N1" s="422"/>
      <c r="O1" s="422"/>
      <c r="P1" s="422"/>
      <c r="Q1" s="422"/>
      <c r="R1" s="422"/>
      <c r="S1" s="422"/>
      <c r="T1" s="422"/>
    </row>
    <row r="2" spans="1:21" ht="45" customHeight="1" thickBot="1">
      <c r="A2" s="423" t="s">
        <v>154</v>
      </c>
      <c r="B2" s="424"/>
      <c r="C2" s="424"/>
      <c r="D2" s="424"/>
      <c r="E2" s="424"/>
      <c r="F2" s="424"/>
      <c r="G2" s="424"/>
      <c r="H2" s="424"/>
      <c r="I2" s="424"/>
      <c r="J2" s="424"/>
      <c r="K2" s="424"/>
      <c r="L2" s="424"/>
      <c r="M2" s="424"/>
      <c r="N2" s="424"/>
      <c r="O2" s="424"/>
      <c r="P2" s="424"/>
      <c r="Q2" s="424"/>
      <c r="R2" s="424"/>
      <c r="S2" s="424"/>
      <c r="T2" s="424"/>
      <c r="U2" s="425"/>
    </row>
    <row r="3" spans="1:21" ht="19.5" customHeight="1" thickBot="1">
      <c r="A3" s="426"/>
      <c r="B3" s="426"/>
      <c r="C3" s="426"/>
      <c r="D3" s="426"/>
      <c r="E3" s="426"/>
      <c r="F3" s="426"/>
      <c r="G3" s="426"/>
      <c r="H3" s="426"/>
      <c r="I3" s="426"/>
      <c r="J3" s="426"/>
      <c r="K3" s="426"/>
      <c r="L3" s="426"/>
      <c r="M3" s="426"/>
      <c r="N3" s="426"/>
      <c r="O3" s="426"/>
      <c r="P3" s="426"/>
      <c r="Q3" s="426"/>
      <c r="R3" s="426"/>
      <c r="S3" s="426"/>
      <c r="T3" s="426"/>
    </row>
    <row r="4" spans="1:21" ht="27" customHeight="1" thickBot="1">
      <c r="A4" s="430" t="s">
        <v>155</v>
      </c>
      <c r="B4" s="432" t="s">
        <v>156</v>
      </c>
      <c r="C4" s="434" t="s">
        <v>157</v>
      </c>
      <c r="D4" s="432" t="s">
        <v>158</v>
      </c>
      <c r="E4" s="434" t="s">
        <v>159</v>
      </c>
      <c r="F4" s="434" t="s">
        <v>160</v>
      </c>
      <c r="G4" s="437" t="s">
        <v>161</v>
      </c>
      <c r="H4" s="439" t="s">
        <v>162</v>
      </c>
      <c r="I4" s="412" t="s">
        <v>163</v>
      </c>
      <c r="J4" s="427" t="s">
        <v>164</v>
      </c>
      <c r="K4" s="428"/>
      <c r="L4" s="427" t="s">
        <v>165</v>
      </c>
      <c r="M4" s="429"/>
      <c r="N4" s="428"/>
      <c r="O4" s="427" t="s">
        <v>166</v>
      </c>
      <c r="P4" s="428"/>
      <c r="Q4" s="419" t="s">
        <v>167</v>
      </c>
      <c r="R4" s="414"/>
      <c r="S4" s="415"/>
      <c r="T4" s="416"/>
      <c r="U4" s="417" t="s">
        <v>169</v>
      </c>
    </row>
    <row r="5" spans="1:21" ht="28.5" thickBot="1">
      <c r="A5" s="431"/>
      <c r="B5" s="433"/>
      <c r="C5" s="435"/>
      <c r="D5" s="436"/>
      <c r="E5" s="435"/>
      <c r="F5" s="435"/>
      <c r="G5" s="438"/>
      <c r="H5" s="440"/>
      <c r="I5" s="413"/>
      <c r="J5" s="218" t="s">
        <v>170</v>
      </c>
      <c r="K5" s="219" t="s">
        <v>171</v>
      </c>
      <c r="L5" s="218" t="s">
        <v>172</v>
      </c>
      <c r="M5" s="223" t="s">
        <v>173</v>
      </c>
      <c r="N5" s="219" t="s">
        <v>174</v>
      </c>
      <c r="O5" s="218" t="s">
        <v>175</v>
      </c>
      <c r="P5" s="219" t="s">
        <v>176</v>
      </c>
      <c r="Q5" s="420"/>
      <c r="R5" s="356" t="s">
        <v>178</v>
      </c>
      <c r="S5" s="357" t="s">
        <v>179</v>
      </c>
      <c r="T5" s="357" t="s">
        <v>168</v>
      </c>
      <c r="U5" s="418"/>
    </row>
    <row r="6" spans="1:21" s="204" customFormat="1" ht="96" customHeight="1">
      <c r="A6" s="209"/>
      <c r="B6" s="210"/>
      <c r="C6" s="208"/>
      <c r="D6" s="208"/>
      <c r="E6" s="208"/>
      <c r="F6" s="208"/>
      <c r="G6" s="215"/>
      <c r="H6" s="215"/>
      <c r="I6" s="215"/>
      <c r="J6" s="220"/>
      <c r="K6" s="215"/>
      <c r="L6" s="220"/>
      <c r="M6" s="220"/>
      <c r="N6" s="215"/>
      <c r="O6" s="220"/>
      <c r="P6" s="216"/>
      <c r="Q6" s="225" t="str">
        <f t="shared" ref="Q6:Q16" ca="1" si="0">IF(D6="","",INDIRECT(CONCATENATE("Werte!D",(3+IF(OR("S0"=J6,"E0"=L6,"C0"=O6),0,MAX(IF(""=J6,0,VALUE(MID(J6,2,1)))+IF(""=L6,0,VALUE(MID(L6,2,1)))+IF(""=O6,0,VALUE(MID(O6,2,1)))-6,0))))))</f>
        <v/>
      </c>
      <c r="R6" s="353"/>
      <c r="S6" s="354"/>
      <c r="T6" s="355"/>
      <c r="U6" s="233"/>
    </row>
    <row r="7" spans="1:21" s="204" customFormat="1" ht="96" customHeight="1">
      <c r="A7" s="209"/>
      <c r="B7" s="210"/>
      <c r="C7" s="208"/>
      <c r="D7" s="208"/>
      <c r="E7" s="215"/>
      <c r="F7" s="208"/>
      <c r="G7" s="215"/>
      <c r="H7" s="217"/>
      <c r="I7" s="217"/>
      <c r="J7" s="220"/>
      <c r="K7" s="208"/>
      <c r="L7" s="220"/>
      <c r="M7" s="220"/>
      <c r="N7" s="215"/>
      <c r="O7" s="220"/>
      <c r="P7" s="216"/>
      <c r="Q7" s="225" t="str">
        <f t="shared" ca="1" si="0"/>
        <v/>
      </c>
      <c r="R7" s="226"/>
      <c r="S7" s="227"/>
      <c r="T7" s="231"/>
      <c r="U7" s="232"/>
    </row>
    <row r="8" spans="1:21" s="204" customFormat="1" ht="18" customHeight="1">
      <c r="A8" s="211"/>
      <c r="B8" s="212"/>
      <c r="C8" s="212"/>
      <c r="D8" s="208"/>
      <c r="E8" s="212"/>
      <c r="F8" s="212"/>
      <c r="G8" s="217"/>
      <c r="H8" s="217"/>
      <c r="I8" s="217"/>
      <c r="J8" s="221"/>
      <c r="K8" s="217"/>
      <c r="L8" s="221"/>
      <c r="M8" s="224"/>
      <c r="N8" s="217"/>
      <c r="O8" s="221"/>
      <c r="P8" s="217"/>
      <c r="Q8" s="225" t="str">
        <f t="shared" ca="1" si="0"/>
        <v/>
      </c>
      <c r="R8" s="229"/>
      <c r="S8" s="229"/>
      <c r="T8" s="229"/>
      <c r="U8" s="234"/>
    </row>
    <row r="9" spans="1:21" s="204" customFormat="1" ht="14">
      <c r="A9" s="209"/>
      <c r="B9" s="210"/>
      <c r="C9" s="208"/>
      <c r="D9" s="208"/>
      <c r="E9" s="208"/>
      <c r="F9" s="208"/>
      <c r="G9" s="215"/>
      <c r="H9" s="217"/>
      <c r="I9" s="217"/>
      <c r="J9" s="220"/>
      <c r="K9" s="208"/>
      <c r="L9" s="220"/>
      <c r="M9" s="220"/>
      <c r="N9" s="217"/>
      <c r="O9" s="220"/>
      <c r="P9" s="215"/>
      <c r="Q9" s="225" t="str">
        <f t="shared" ca="1" si="0"/>
        <v/>
      </c>
      <c r="R9" s="226"/>
      <c r="S9" s="227"/>
      <c r="T9" s="231"/>
      <c r="U9" s="232"/>
    </row>
    <row r="10" spans="1:21" s="204" customFormat="1" ht="18" customHeight="1">
      <c r="A10" s="211"/>
      <c r="B10" s="212"/>
      <c r="C10" s="212"/>
      <c r="D10" s="208"/>
      <c r="E10" s="212"/>
      <c r="F10" s="212"/>
      <c r="G10" s="217"/>
      <c r="H10" s="217"/>
      <c r="I10" s="217"/>
      <c r="J10" s="221"/>
      <c r="K10" s="217"/>
      <c r="L10" s="221"/>
      <c r="M10" s="224"/>
      <c r="N10" s="217"/>
      <c r="O10" s="221"/>
      <c r="P10" s="217"/>
      <c r="Q10" s="225" t="str">
        <f t="shared" ca="1" si="0"/>
        <v/>
      </c>
      <c r="R10" s="229"/>
      <c r="S10" s="229"/>
      <c r="T10" s="229"/>
      <c r="U10" s="234"/>
    </row>
    <row r="11" spans="1:21" s="204" customFormat="1" ht="14">
      <c r="A11" s="209"/>
      <c r="B11" s="210"/>
      <c r="C11" s="208"/>
      <c r="D11" s="208"/>
      <c r="E11" s="215"/>
      <c r="F11" s="208"/>
      <c r="G11" s="215"/>
      <c r="H11" s="215"/>
      <c r="I11" s="215"/>
      <c r="J11" s="220"/>
      <c r="K11" s="215"/>
      <c r="L11" s="220"/>
      <c r="M11" s="220"/>
      <c r="N11" s="216"/>
      <c r="O11" s="220"/>
      <c r="P11" s="216"/>
      <c r="Q11" s="225" t="str">
        <f t="shared" ca="1" si="0"/>
        <v/>
      </c>
      <c r="R11" s="226"/>
      <c r="S11" s="230"/>
      <c r="T11" s="231"/>
      <c r="U11" s="232"/>
    </row>
    <row r="12" spans="1:21" s="204" customFormat="1" ht="14">
      <c r="A12" s="209"/>
      <c r="B12" s="210"/>
      <c r="C12" s="208"/>
      <c r="D12" s="208"/>
      <c r="E12" s="215"/>
      <c r="F12" s="208"/>
      <c r="G12" s="215"/>
      <c r="H12" s="217"/>
      <c r="I12" s="217"/>
      <c r="J12" s="220"/>
      <c r="K12" s="208"/>
      <c r="L12" s="220"/>
      <c r="M12" s="220"/>
      <c r="N12" s="215"/>
      <c r="O12" s="220"/>
      <c r="P12" s="216"/>
      <c r="Q12" s="225" t="str">
        <f t="shared" ca="1" si="0"/>
        <v/>
      </c>
      <c r="R12" s="226"/>
      <c r="S12" s="230"/>
      <c r="T12" s="231"/>
      <c r="U12" s="232"/>
    </row>
    <row r="13" spans="1:21" s="204" customFormat="1" ht="18" customHeight="1">
      <c r="A13" s="211"/>
      <c r="B13" s="212"/>
      <c r="C13" s="212"/>
      <c r="D13" s="208"/>
      <c r="E13" s="212"/>
      <c r="F13" s="212"/>
      <c r="G13" s="217"/>
      <c r="H13" s="217"/>
      <c r="I13" s="217"/>
      <c r="J13" s="221"/>
      <c r="K13" s="217"/>
      <c r="L13" s="221"/>
      <c r="M13" s="224"/>
      <c r="N13" s="217"/>
      <c r="O13" s="221"/>
      <c r="P13" s="217"/>
      <c r="Q13" s="225" t="str">
        <f t="shared" ca="1" si="0"/>
        <v/>
      </c>
      <c r="R13" s="229"/>
      <c r="S13" s="229"/>
      <c r="T13" s="229"/>
      <c r="U13" s="234"/>
    </row>
    <row r="14" spans="1:21" s="204" customFormat="1" ht="14">
      <c r="A14" s="209"/>
      <c r="B14" s="210"/>
      <c r="C14" s="208"/>
      <c r="D14" s="208"/>
      <c r="E14" s="215"/>
      <c r="F14" s="215"/>
      <c r="G14" s="215"/>
      <c r="H14" s="217"/>
      <c r="I14" s="217"/>
      <c r="J14" s="220"/>
      <c r="K14" s="215"/>
      <c r="L14" s="220"/>
      <c r="M14" s="220"/>
      <c r="N14" s="217"/>
      <c r="O14" s="220"/>
      <c r="P14" s="215"/>
      <c r="Q14" s="225" t="str">
        <f t="shared" ca="1" si="0"/>
        <v/>
      </c>
      <c r="R14" s="226"/>
      <c r="S14" s="230"/>
      <c r="T14" s="231"/>
      <c r="U14" s="232"/>
    </row>
    <row r="15" spans="1:21" s="204" customFormat="1" ht="14">
      <c r="A15" s="213"/>
      <c r="B15" s="214"/>
      <c r="C15" s="214"/>
      <c r="D15" s="208"/>
      <c r="E15" s="214"/>
      <c r="F15" s="214"/>
      <c r="G15" s="217"/>
      <c r="H15" s="217"/>
      <c r="I15" s="217"/>
      <c r="J15" s="222"/>
      <c r="K15" s="214"/>
      <c r="L15" s="222"/>
      <c r="M15" s="222"/>
      <c r="N15" s="215"/>
      <c r="O15" s="220"/>
      <c r="P15" s="215"/>
      <c r="Q15" s="225" t="str">
        <f t="shared" ca="1" si="0"/>
        <v/>
      </c>
      <c r="R15" s="226"/>
      <c r="S15" s="230"/>
      <c r="T15" s="231"/>
      <c r="U15" s="232"/>
    </row>
    <row r="16" spans="1:21" s="204" customFormat="1" ht="14">
      <c r="A16" s="213"/>
      <c r="B16" s="213"/>
      <c r="C16" s="210"/>
      <c r="D16" s="208"/>
      <c r="E16" s="215"/>
      <c r="F16" s="215"/>
      <c r="G16" s="217"/>
      <c r="H16" s="217"/>
      <c r="I16" s="217"/>
      <c r="J16" s="220"/>
      <c r="K16" s="215"/>
      <c r="L16" s="220"/>
      <c r="M16" s="220"/>
      <c r="N16" s="215"/>
      <c r="O16" s="220"/>
      <c r="P16" s="215"/>
      <c r="Q16" s="225" t="str">
        <f t="shared" ca="1" si="0"/>
        <v/>
      </c>
      <c r="R16" s="226"/>
      <c r="S16" s="230"/>
      <c r="T16" s="231"/>
      <c r="U16" s="232"/>
    </row>
  </sheetData>
  <sheetProtection formatCells="0" formatColumns="0" formatRows="0" insertColumns="0" insertRows="0" insertHyperlinks="0" deleteColumns="0" deleteRows="0" sort="0" autoFilter="0" pivotTables="0"/>
  <mergeCells count="18">
    <mergeCell ref="G4:G5"/>
    <mergeCell ref="H4:H5"/>
    <mergeCell ref="I4:I5"/>
    <mergeCell ref="R4:T4"/>
    <mergeCell ref="U4:U5"/>
    <mergeCell ref="Q4:Q5"/>
    <mergeCell ref="A1:T1"/>
    <mergeCell ref="A2:U2"/>
    <mergeCell ref="A3:T3"/>
    <mergeCell ref="J4:K4"/>
    <mergeCell ref="L4:N4"/>
    <mergeCell ref="O4:P4"/>
    <mergeCell ref="A4:A5"/>
    <mergeCell ref="B4:B5"/>
    <mergeCell ref="C4:C5"/>
    <mergeCell ref="D4:D5"/>
    <mergeCell ref="E4:E5"/>
    <mergeCell ref="F4:F5"/>
  </mergeCells>
  <phoneticPr fontId="52" type="noConversion"/>
  <conditionalFormatting sqref="Q6:Q16">
    <cfRule type="cellIs" dxfId="15" priority="1" operator="equal">
      <formula>"ASIL C"</formula>
    </cfRule>
    <cfRule type="cellIs" dxfId="14" priority="2" operator="equal">
      <formula>"ASIL D"</formula>
    </cfRule>
    <cfRule type="cellIs" dxfId="13" priority="3" operator="equal">
      <formula>"ASIL B"</formula>
    </cfRule>
    <cfRule type="cellIs" dxfId="12" priority="4" operator="equal">
      <formula>"ASIL A"</formula>
    </cfRule>
    <cfRule type="cellIs" dxfId="11" priority="5" operator="equal">
      <formula>"QM"</formula>
    </cfRule>
  </conditionalFormatting>
  <dataValidations count="5">
    <dataValidation type="list" allowBlank="1" showInputMessage="1" showErrorMessage="1" sqref="M9 M14 M16 M11:M12 M6:M7" xr:uid="{00000000-0002-0000-0400-000002000000}">
      <formula1>E_Kategorie</formula1>
    </dataValidation>
    <dataValidation type="list" allowBlank="1" showInputMessage="1" showErrorMessage="1" sqref="J16 J6:J14" xr:uid="{00000000-0002-0000-0400-000003000000}">
      <formula1>S_Parameter</formula1>
    </dataValidation>
    <dataValidation type="list" allowBlank="1" showInputMessage="1" showErrorMessage="1" sqref="L16 L6:L14" xr:uid="{00000000-0002-0000-0400-000004000000}">
      <formula1>E_Parameter</formula1>
    </dataValidation>
    <dataValidation type="list" allowBlank="1" showInputMessage="1" showErrorMessage="1" sqref="D6:D16" xr:uid="{00000000-0002-0000-0400-000001000000}">
      <formula1>Guide_Word</formula1>
    </dataValidation>
    <dataValidation type="list" allowBlank="1" showInputMessage="1" showErrorMessage="1" sqref="O6:O16" xr:uid="{00000000-0002-0000-0400-000005000000}">
      <formula1>C_Parameter</formula1>
    </dataValidation>
  </dataValidations>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0000000}">
          <x14:formula1>
            <xm:f>Werte!#REF!</xm:f>
          </x14:formula1>
          <xm:sqref>M8 M10 M13</xm:sqref>
        </x14:dataValidation>
        <x14:dataValidation type="list" allowBlank="1" showInputMessage="1" showErrorMessage="1" xr:uid="{00000000-0002-0000-0400-000007000000}">
          <x14:formula1>
            <xm:f>'06_Safety Goal'!$C$4:$C$10</xm:f>
          </x14:formula1>
          <xm:sqref>R1:R3 R6:R1048576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outlinePr summaryBelow="0" summaryRight="0"/>
  </sheetPr>
  <dimension ref="A1:Q27"/>
  <sheetViews>
    <sheetView showGridLines="0" zoomScalePageLayoutView="90" workbookViewId="0">
      <selection activeCell="E8" sqref="E8"/>
    </sheetView>
  </sheetViews>
  <sheetFormatPr defaultColWidth="11.4140625" defaultRowHeight="12.5"/>
  <cols>
    <col min="1" max="1" width="9.75" style="50" customWidth="1"/>
    <col min="2" max="2" width="34.1640625" style="50" customWidth="1"/>
    <col min="3" max="3" width="9.75" style="50" customWidth="1"/>
    <col min="4" max="4" width="39.25" style="50" customWidth="1"/>
    <col min="5" max="5" width="18.75" style="50" customWidth="1"/>
    <col min="6" max="6" width="12.4140625" style="50" customWidth="1"/>
    <col min="7" max="7" width="12.1640625" style="50" customWidth="1"/>
    <col min="8" max="16384" width="11.4140625" style="50"/>
  </cols>
  <sheetData>
    <row r="1" spans="1:17" ht="38.75" customHeight="1">
      <c r="A1" s="441" t="s">
        <v>183</v>
      </c>
      <c r="B1" s="442"/>
      <c r="C1" s="442"/>
      <c r="D1" s="442"/>
      <c r="E1" s="442"/>
      <c r="F1" s="442"/>
      <c r="G1" s="195"/>
      <c r="H1" s="196"/>
      <c r="I1" s="196"/>
      <c r="J1" s="196"/>
      <c r="K1" s="196"/>
      <c r="L1" s="196"/>
      <c r="M1" s="196"/>
      <c r="N1" s="196"/>
      <c r="O1" s="196"/>
      <c r="P1" s="196"/>
      <c r="Q1" s="196"/>
    </row>
    <row r="2" spans="1:17" ht="27">
      <c r="A2" s="443"/>
      <c r="B2" s="443"/>
      <c r="C2" s="443"/>
      <c r="D2" s="443"/>
      <c r="E2" s="443"/>
      <c r="F2" s="443"/>
      <c r="G2" s="444"/>
      <c r="H2" s="197"/>
      <c r="I2" s="197"/>
      <c r="J2" s="197"/>
      <c r="K2" s="197"/>
      <c r="L2" s="197"/>
      <c r="M2" s="197"/>
      <c r="N2" s="197"/>
      <c r="O2" s="197"/>
      <c r="P2" s="197"/>
      <c r="Q2" s="197"/>
    </row>
    <row r="3" spans="1:17" ht="42.5" customHeight="1">
      <c r="A3" s="186" t="s">
        <v>177</v>
      </c>
      <c r="B3" s="186" t="s">
        <v>160</v>
      </c>
      <c r="C3" s="186" t="s">
        <v>178</v>
      </c>
      <c r="D3" s="186" t="s">
        <v>179</v>
      </c>
      <c r="E3" s="186" t="s">
        <v>184</v>
      </c>
      <c r="F3" s="186" t="s">
        <v>185</v>
      </c>
      <c r="G3" s="198"/>
      <c r="H3" s="199"/>
      <c r="I3" s="199"/>
      <c r="J3" s="199"/>
      <c r="K3" s="199"/>
      <c r="L3" s="199"/>
      <c r="M3" s="199"/>
      <c r="N3" s="199"/>
      <c r="O3" s="199"/>
      <c r="P3" s="199"/>
    </row>
    <row r="4" spans="1:17" ht="13">
      <c r="A4" s="187" t="s">
        <v>186</v>
      </c>
      <c r="B4" s="188"/>
      <c r="C4" s="187"/>
      <c r="D4" s="187"/>
      <c r="E4" s="187"/>
      <c r="F4" s="200"/>
    </row>
    <row r="5" spans="1:17" ht="13">
      <c r="A5" s="187" t="s">
        <v>187</v>
      </c>
      <c r="B5" s="188"/>
      <c r="C5" s="187"/>
      <c r="D5" s="187"/>
      <c r="E5" s="187"/>
      <c r="F5" s="200"/>
    </row>
    <row r="6" spans="1:17" ht="13">
      <c r="A6" s="187" t="s">
        <v>188</v>
      </c>
      <c r="B6" s="188"/>
      <c r="C6" s="187"/>
      <c r="D6" s="187"/>
      <c r="E6" s="187"/>
      <c r="F6" s="200"/>
    </row>
    <row r="7" spans="1:17" ht="13">
      <c r="A7" s="187" t="s">
        <v>189</v>
      </c>
      <c r="B7" s="188"/>
      <c r="C7" s="187"/>
      <c r="D7" s="189"/>
      <c r="E7" s="187"/>
      <c r="F7" s="200"/>
    </row>
    <row r="8" spans="1:17" ht="13">
      <c r="A8" s="187" t="s">
        <v>190</v>
      </c>
      <c r="B8" s="188"/>
      <c r="C8" s="187"/>
      <c r="D8" s="189"/>
      <c r="E8" s="187"/>
      <c r="F8" s="200"/>
    </row>
    <row r="9" spans="1:17">
      <c r="A9" s="187"/>
      <c r="B9" s="189"/>
      <c r="C9" s="187"/>
      <c r="D9" s="187"/>
      <c r="E9" s="187"/>
      <c r="F9" s="187"/>
    </row>
    <row r="10" spans="1:17">
      <c r="A10" s="187"/>
      <c r="B10" s="189"/>
      <c r="C10" s="187"/>
      <c r="D10" s="189"/>
      <c r="E10" s="187"/>
      <c r="F10" s="187"/>
    </row>
    <row r="11" spans="1:17">
      <c r="A11" s="187"/>
      <c r="B11" s="189"/>
      <c r="C11" s="190"/>
      <c r="D11" s="189"/>
      <c r="E11" s="187"/>
      <c r="F11" s="201"/>
    </row>
    <row r="12" spans="1:17">
      <c r="A12" s="191"/>
      <c r="B12" s="192"/>
      <c r="C12" s="190"/>
      <c r="D12" s="190"/>
      <c r="E12" s="187"/>
      <c r="F12" s="201"/>
    </row>
    <row r="13" spans="1:17">
      <c r="A13" s="191"/>
      <c r="B13" s="192"/>
      <c r="C13" s="190"/>
      <c r="D13" s="190"/>
      <c r="E13" s="187"/>
      <c r="F13" s="201"/>
    </row>
    <row r="14" spans="1:17">
      <c r="A14" s="191"/>
      <c r="B14" s="192"/>
      <c r="C14" s="190"/>
      <c r="D14" s="190"/>
      <c r="E14" s="187"/>
      <c r="F14" s="201"/>
    </row>
    <row r="15" spans="1:17">
      <c r="A15" s="191"/>
      <c r="B15" s="192"/>
      <c r="C15" s="190"/>
      <c r="D15" s="190"/>
      <c r="E15" s="187"/>
      <c r="F15" s="201"/>
    </row>
    <row r="16" spans="1:17">
      <c r="A16" s="191"/>
      <c r="B16" s="192"/>
      <c r="C16" s="190"/>
      <c r="D16" s="190"/>
      <c r="E16" s="190"/>
      <c r="F16" s="201"/>
    </row>
    <row r="17" spans="1:7">
      <c r="A17" s="191"/>
      <c r="B17" s="192"/>
      <c r="C17" s="190"/>
      <c r="D17" s="190"/>
      <c r="E17" s="190"/>
      <c r="F17" s="201"/>
    </row>
    <row r="18" spans="1:7">
      <c r="A18" s="191"/>
      <c r="B18" s="192"/>
      <c r="C18" s="190"/>
      <c r="D18" s="190"/>
      <c r="E18" s="190"/>
      <c r="F18" s="201"/>
    </row>
    <row r="19" spans="1:7">
      <c r="A19" s="191"/>
      <c r="B19" s="192"/>
      <c r="C19" s="190"/>
      <c r="D19" s="190"/>
      <c r="E19" s="190"/>
      <c r="F19" s="201"/>
    </row>
    <row r="20" spans="1:7">
      <c r="A20" s="191"/>
      <c r="B20" s="192"/>
      <c r="C20" s="190"/>
      <c r="D20" s="190"/>
      <c r="E20" s="190"/>
      <c r="F20" s="201"/>
    </row>
    <row r="21" spans="1:7">
      <c r="A21" s="191"/>
      <c r="B21" s="192"/>
      <c r="C21" s="190"/>
      <c r="D21" s="190"/>
      <c r="E21" s="190"/>
      <c r="F21" s="201"/>
    </row>
    <row r="22" spans="1:7">
      <c r="A22" s="191"/>
      <c r="B22" s="192"/>
      <c r="C22" s="190"/>
      <c r="D22" s="190"/>
      <c r="E22" s="190"/>
      <c r="F22" s="201"/>
    </row>
    <row r="23" spans="1:7">
      <c r="A23" s="191"/>
      <c r="B23" s="192"/>
      <c r="C23" s="193"/>
      <c r="D23" s="193"/>
      <c r="E23" s="193"/>
      <c r="F23" s="201"/>
    </row>
    <row r="24" spans="1:7">
      <c r="A24" s="191"/>
      <c r="B24" s="192"/>
      <c r="C24" s="190"/>
      <c r="D24" s="190"/>
      <c r="E24" s="190"/>
      <c r="F24" s="201"/>
    </row>
    <row r="25" spans="1:7">
      <c r="A25" s="194"/>
      <c r="B25" s="194"/>
      <c r="C25" s="194"/>
      <c r="D25" s="194"/>
      <c r="E25" s="194"/>
      <c r="F25" s="194"/>
      <c r="G25" s="202"/>
    </row>
    <row r="26" spans="1:7">
      <c r="A26" s="194"/>
      <c r="B26" s="194"/>
      <c r="C26" s="194"/>
      <c r="D26" s="194"/>
      <c r="E26" s="194"/>
      <c r="F26" s="194"/>
      <c r="G26" s="203"/>
    </row>
    <row r="27" spans="1:7">
      <c r="A27" s="194"/>
      <c r="C27" s="194"/>
      <c r="D27" s="194"/>
      <c r="E27" s="194"/>
      <c r="F27" s="194"/>
      <c r="G27" s="203"/>
    </row>
  </sheetData>
  <sheetProtection formatCells="0" formatColumns="0" formatRows="0" insertColumns="0" insertRows="0" insertHyperlinks="0" deleteColumns="0" deleteRows="0" sort="0" autoFilter="0" pivotTables="0"/>
  <mergeCells count="2">
    <mergeCell ref="A1:F1"/>
    <mergeCell ref="A2:G2"/>
  </mergeCells>
  <phoneticPr fontId="52" type="noConversion"/>
  <conditionalFormatting sqref="F4:F8">
    <cfRule type="cellIs" dxfId="10" priority="1" operator="equal">
      <formula>"ASIL C"</formula>
    </cfRule>
    <cfRule type="cellIs" dxfId="9" priority="2" operator="equal">
      <formula>"ASIL D"</formula>
    </cfRule>
    <cfRule type="cellIs" dxfId="8" priority="3" operator="equal">
      <formula>"ASIL B"</formula>
    </cfRule>
    <cfRule type="cellIs" dxfId="7" priority="4" operator="equal">
      <formula>"ASIL A"</formula>
    </cfRule>
    <cfRule type="cellIs" dxfId="6" priority="5" operator="equal">
      <formula>"QM"</formula>
    </cfRule>
  </conditionalFormatting>
  <dataValidations count="1">
    <dataValidation type="list" allowBlank="1" showInputMessage="1" showErrorMessage="1" sqref="F11:F24" xr:uid="{00000000-0002-0000-0500-000000000000}">
      <formula1>E</formula1>
    </dataValidation>
  </dataValidations>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Werte!#REF!</xm:f>
          </x14:formula1>
          <xm:sqref>G25:G27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B2:O44"/>
  <sheetViews>
    <sheetView tabSelected="1" topLeftCell="D1" workbookViewId="0">
      <selection activeCell="M9" sqref="M9"/>
    </sheetView>
  </sheetViews>
  <sheetFormatPr defaultColWidth="11.08203125" defaultRowHeight="14"/>
  <cols>
    <col min="1" max="1" width="11.08203125" style="148"/>
    <col min="2" max="2" width="21.4140625" style="166" customWidth="1"/>
    <col min="3" max="3" width="29.1640625" style="148" customWidth="1"/>
    <col min="4" max="4" width="23.33203125" style="148" customWidth="1"/>
    <col min="5" max="5" width="22.4140625" style="148" customWidth="1"/>
    <col min="6" max="6" width="22" style="148" customWidth="1"/>
    <col min="7" max="8" width="11.08203125" style="148"/>
    <col min="9" max="9" width="36.83203125" style="148" customWidth="1"/>
    <col min="10" max="10" width="11.08203125" style="148"/>
    <col min="11" max="11" width="6.9140625" style="148" customWidth="1"/>
    <col min="12" max="12" width="18.83203125" style="148" customWidth="1"/>
    <col min="13" max="13" width="33.08203125" style="148" customWidth="1"/>
    <col min="14" max="14" width="21.58203125" style="148" customWidth="1"/>
    <col min="15" max="15" width="14.08203125" style="148" customWidth="1"/>
    <col min="16" max="16384" width="11.08203125" style="148"/>
  </cols>
  <sheetData>
    <row r="2" spans="2:15" ht="18.75" customHeight="1">
      <c r="B2" s="474" t="s">
        <v>191</v>
      </c>
      <c r="C2" s="475"/>
      <c r="D2" s="475"/>
      <c r="E2" s="475"/>
      <c r="F2" s="476"/>
      <c r="I2" s="182" t="s">
        <v>192</v>
      </c>
      <c r="K2" s="358" t="s">
        <v>24</v>
      </c>
      <c r="L2" s="358" t="s">
        <v>1424</v>
      </c>
      <c r="M2" s="358" t="s">
        <v>1425</v>
      </c>
      <c r="N2" s="359" t="s">
        <v>1426</v>
      </c>
      <c r="O2" s="360" t="s">
        <v>1427</v>
      </c>
    </row>
    <row r="3" spans="2:15" ht="42" customHeight="1">
      <c r="B3" s="477"/>
      <c r="C3" s="478"/>
      <c r="D3" s="478"/>
      <c r="E3" s="478"/>
      <c r="F3" s="479"/>
      <c r="I3" s="183" t="s">
        <v>193</v>
      </c>
      <c r="K3" s="361">
        <v>1</v>
      </c>
      <c r="L3" s="362" t="s">
        <v>1428</v>
      </c>
      <c r="M3" s="362" t="s">
        <v>1428</v>
      </c>
      <c r="N3" s="445" t="s">
        <v>1460</v>
      </c>
      <c r="O3" s="361" t="s">
        <v>1429</v>
      </c>
    </row>
    <row r="4" spans="2:15" ht="18">
      <c r="B4" s="149"/>
      <c r="C4" s="469"/>
      <c r="D4" s="469"/>
      <c r="E4" s="150"/>
      <c r="F4" s="150"/>
      <c r="I4" s="183" t="s">
        <v>194</v>
      </c>
      <c r="K4" s="361">
        <v>2</v>
      </c>
      <c r="L4" s="362" t="s">
        <v>1430</v>
      </c>
      <c r="M4" s="362" t="s">
        <v>1430</v>
      </c>
      <c r="N4" s="446"/>
      <c r="O4" s="361" t="s">
        <v>1429</v>
      </c>
    </row>
    <row r="5" spans="2:15" ht="13.5" customHeight="1">
      <c r="B5" s="167" t="s">
        <v>195</v>
      </c>
      <c r="C5" s="168"/>
      <c r="D5" s="168"/>
      <c r="E5" s="168"/>
      <c r="F5" s="179"/>
      <c r="I5" s="183" t="s">
        <v>196</v>
      </c>
      <c r="K5" s="361">
        <v>3</v>
      </c>
      <c r="L5" s="362" t="s">
        <v>1431</v>
      </c>
      <c r="M5" s="362" t="s">
        <v>1431</v>
      </c>
      <c r="N5" s="446"/>
      <c r="O5" s="361" t="s">
        <v>1429</v>
      </c>
    </row>
    <row r="6" spans="2:15" ht="13.5" customHeight="1">
      <c r="B6" s="148"/>
      <c r="C6" s="169"/>
      <c r="D6" s="169"/>
      <c r="E6" s="169"/>
      <c r="I6" s="183" t="s">
        <v>197</v>
      </c>
      <c r="K6" s="361">
        <v>4</v>
      </c>
      <c r="L6" s="362" t="s">
        <v>1432</v>
      </c>
      <c r="M6" s="362" t="s">
        <v>1432</v>
      </c>
      <c r="N6" s="447"/>
      <c r="O6" s="361" t="s">
        <v>1429</v>
      </c>
    </row>
    <row r="7" spans="2:15" ht="28">
      <c r="B7" s="170" t="s">
        <v>1461</v>
      </c>
      <c r="C7" s="171" t="s">
        <v>198</v>
      </c>
      <c r="D7" s="171" t="s">
        <v>199</v>
      </c>
      <c r="E7" s="171" t="s">
        <v>200</v>
      </c>
      <c r="F7" s="180" t="s">
        <v>180</v>
      </c>
      <c r="I7" s="183" t="s">
        <v>201</v>
      </c>
      <c r="K7" s="361">
        <v>5</v>
      </c>
      <c r="L7" s="471" t="s">
        <v>1459</v>
      </c>
      <c r="M7" s="362" t="s">
        <v>1433</v>
      </c>
      <c r="N7" s="361" t="s">
        <v>1434</v>
      </c>
      <c r="O7" s="361" t="s">
        <v>1435</v>
      </c>
    </row>
    <row r="8" spans="2:15" ht="37.5">
      <c r="B8" s="172" t="s">
        <v>125</v>
      </c>
      <c r="C8" s="153" t="s">
        <v>202</v>
      </c>
      <c r="D8" s="153" t="s">
        <v>203</v>
      </c>
      <c r="E8" s="153" t="s">
        <v>204</v>
      </c>
      <c r="F8" s="156" t="s">
        <v>205</v>
      </c>
      <c r="I8" s="183" t="s">
        <v>206</v>
      </c>
      <c r="K8" s="361">
        <v>6</v>
      </c>
      <c r="L8" s="472"/>
      <c r="M8" s="362" t="s">
        <v>1433</v>
      </c>
      <c r="N8" s="361" t="s">
        <v>1436</v>
      </c>
      <c r="O8" s="361" t="s">
        <v>1435</v>
      </c>
    </row>
    <row r="9" spans="2:15" ht="50">
      <c r="B9" s="151" t="s">
        <v>207</v>
      </c>
      <c r="C9" s="153" t="s">
        <v>208</v>
      </c>
      <c r="D9" s="153" t="s">
        <v>209</v>
      </c>
      <c r="E9" s="153" t="s">
        <v>210</v>
      </c>
      <c r="F9" s="156" t="s">
        <v>211</v>
      </c>
      <c r="I9" s="183" t="s">
        <v>212</v>
      </c>
      <c r="K9" s="361">
        <v>7</v>
      </c>
      <c r="L9" s="471" t="s">
        <v>1437</v>
      </c>
      <c r="M9" s="362" t="s">
        <v>1438</v>
      </c>
      <c r="N9" s="361" t="s">
        <v>1439</v>
      </c>
      <c r="O9" s="361" t="s">
        <v>1440</v>
      </c>
    </row>
    <row r="10" spans="2:15" ht="62.5">
      <c r="B10" s="470" t="s">
        <v>213</v>
      </c>
      <c r="C10" s="339" t="s">
        <v>214</v>
      </c>
      <c r="D10" s="339" t="s">
        <v>215</v>
      </c>
      <c r="E10" s="339" t="s">
        <v>216</v>
      </c>
      <c r="F10" s="340" t="s">
        <v>217</v>
      </c>
      <c r="I10" s="183" t="s">
        <v>218</v>
      </c>
      <c r="K10" s="361">
        <v>8</v>
      </c>
      <c r="L10" s="472"/>
      <c r="M10" s="362" t="s">
        <v>1441</v>
      </c>
      <c r="N10" s="361" t="s">
        <v>1442</v>
      </c>
      <c r="O10" s="361" t="s">
        <v>1440</v>
      </c>
    </row>
    <row r="11" spans="2:15" ht="42">
      <c r="B11" s="470"/>
      <c r="C11" s="339" t="s">
        <v>219</v>
      </c>
      <c r="D11" s="339" t="s">
        <v>220</v>
      </c>
      <c r="E11" s="339" t="s">
        <v>221</v>
      </c>
      <c r="F11" s="340" t="s">
        <v>222</v>
      </c>
      <c r="I11" s="183" t="s">
        <v>223</v>
      </c>
      <c r="K11" s="361">
        <v>9</v>
      </c>
      <c r="L11" s="472"/>
      <c r="M11" s="362" t="s">
        <v>1443</v>
      </c>
      <c r="N11" s="361" t="s">
        <v>1444</v>
      </c>
      <c r="O11" s="361" t="s">
        <v>1440</v>
      </c>
    </row>
    <row r="12" spans="2:15" ht="50">
      <c r="B12" s="470"/>
      <c r="C12" s="339" t="s">
        <v>224</v>
      </c>
      <c r="D12" s="339" t="s">
        <v>225</v>
      </c>
      <c r="E12" s="339" t="s">
        <v>226</v>
      </c>
      <c r="F12" s="340" t="s">
        <v>227</v>
      </c>
      <c r="I12" s="183" t="s">
        <v>228</v>
      </c>
      <c r="K12" s="361">
        <v>10</v>
      </c>
      <c r="L12" s="472"/>
      <c r="M12" s="362" t="s">
        <v>1445</v>
      </c>
      <c r="N12" s="361" t="s">
        <v>1446</v>
      </c>
      <c r="O12" s="361" t="s">
        <v>1447</v>
      </c>
    </row>
    <row r="13" spans="2:15" ht="42">
      <c r="B13" s="470"/>
      <c r="C13" s="339" t="s">
        <v>229</v>
      </c>
      <c r="D13" s="153" t="s">
        <v>230</v>
      </c>
      <c r="E13" s="153" t="s">
        <v>230</v>
      </c>
      <c r="F13" s="156" t="s">
        <v>230</v>
      </c>
      <c r="I13" s="183" t="s">
        <v>231</v>
      </c>
      <c r="K13" s="361">
        <v>11</v>
      </c>
      <c r="L13" s="472"/>
      <c r="M13" s="362" t="s">
        <v>1448</v>
      </c>
      <c r="N13" s="361" t="s">
        <v>1439</v>
      </c>
      <c r="O13" s="361" t="s">
        <v>1447</v>
      </c>
    </row>
    <row r="14" spans="2:15" ht="28">
      <c r="B14" s="470"/>
      <c r="C14" s="339" t="s">
        <v>232</v>
      </c>
      <c r="D14" s="153" t="s">
        <v>230</v>
      </c>
      <c r="E14" s="153" t="s">
        <v>230</v>
      </c>
      <c r="F14" s="156" t="s">
        <v>230</v>
      </c>
      <c r="I14" s="183" t="s">
        <v>233</v>
      </c>
      <c r="K14" s="361">
        <v>12</v>
      </c>
      <c r="L14" s="472"/>
      <c r="M14" s="362" t="s">
        <v>1449</v>
      </c>
      <c r="N14" s="361" t="s">
        <v>1439</v>
      </c>
      <c r="O14" s="361" t="s">
        <v>1447</v>
      </c>
    </row>
    <row r="15" spans="2:15" ht="42">
      <c r="B15" s="451" t="s">
        <v>234</v>
      </c>
      <c r="C15" s="452"/>
      <c r="D15" s="452"/>
      <c r="E15" s="452"/>
      <c r="F15" s="453"/>
      <c r="I15" s="183" t="s">
        <v>235</v>
      </c>
      <c r="K15" s="361">
        <v>13</v>
      </c>
      <c r="L15" s="471" t="s">
        <v>1450</v>
      </c>
      <c r="M15" s="362" t="s">
        <v>1451</v>
      </c>
      <c r="N15" s="361" t="s">
        <v>1446</v>
      </c>
      <c r="O15" s="361" t="s">
        <v>1452</v>
      </c>
    </row>
    <row r="16" spans="2:15" ht="42">
      <c r="B16" s="173"/>
      <c r="C16" s="161"/>
      <c r="D16" s="174"/>
      <c r="E16" s="161"/>
      <c r="F16" s="174"/>
      <c r="I16" s="183" t="s">
        <v>236</v>
      </c>
      <c r="K16" s="361">
        <v>14</v>
      </c>
      <c r="L16" s="473"/>
      <c r="M16" s="362" t="s">
        <v>1453</v>
      </c>
      <c r="N16" s="361" t="s">
        <v>1446</v>
      </c>
      <c r="O16" s="361" t="s">
        <v>1447</v>
      </c>
    </row>
    <row r="17" spans="2:15" ht="42">
      <c r="B17" s="173"/>
      <c r="C17" s="161"/>
      <c r="D17" s="174"/>
      <c r="E17" s="161"/>
      <c r="F17" s="174"/>
      <c r="I17" s="183" t="s">
        <v>237</v>
      </c>
      <c r="K17" s="361">
        <v>15</v>
      </c>
      <c r="L17" s="361" t="s">
        <v>1454</v>
      </c>
      <c r="M17" s="362" t="s">
        <v>1455</v>
      </c>
      <c r="N17" s="361" t="s">
        <v>1446</v>
      </c>
      <c r="O17" s="361" t="s">
        <v>1447</v>
      </c>
    </row>
    <row r="18" spans="2:15" ht="13.5" customHeight="1">
      <c r="B18" s="175" t="s">
        <v>238</v>
      </c>
      <c r="C18" s="176"/>
      <c r="D18" s="176"/>
      <c r="E18" s="176"/>
      <c r="F18" s="181"/>
      <c r="I18" s="183" t="s">
        <v>239</v>
      </c>
      <c r="K18" s="361">
        <v>16</v>
      </c>
      <c r="L18" s="361" t="s">
        <v>1456</v>
      </c>
      <c r="M18" s="362" t="s">
        <v>1457</v>
      </c>
      <c r="N18" s="361" t="s">
        <v>1446</v>
      </c>
      <c r="O18" s="361" t="s">
        <v>1458</v>
      </c>
    </row>
    <row r="19" spans="2:15" ht="12.75" customHeight="1">
      <c r="B19" s="454" t="s">
        <v>240</v>
      </c>
      <c r="C19" s="455"/>
      <c r="D19" s="455"/>
      <c r="E19" s="455"/>
      <c r="F19" s="456"/>
      <c r="I19" s="183" t="s">
        <v>241</v>
      </c>
    </row>
    <row r="20" spans="2:15" ht="12.75" customHeight="1">
      <c r="B20" s="457"/>
      <c r="C20" s="458"/>
      <c r="D20" s="458"/>
      <c r="E20" s="458"/>
      <c r="F20" s="459"/>
      <c r="I20" s="183" t="s">
        <v>242</v>
      </c>
    </row>
    <row r="21" spans="2:15" ht="12.75" customHeight="1">
      <c r="B21" s="460"/>
      <c r="C21" s="461"/>
      <c r="D21" s="461"/>
      <c r="E21" s="461"/>
      <c r="F21" s="462"/>
      <c r="I21" s="183" t="s">
        <v>243</v>
      </c>
    </row>
    <row r="22" spans="2:15" ht="12.75" customHeight="1">
      <c r="B22" s="177" t="s">
        <v>244</v>
      </c>
      <c r="C22" s="178"/>
      <c r="D22" s="178"/>
      <c r="E22" s="178"/>
      <c r="F22" s="178"/>
      <c r="I22" s="183" t="s">
        <v>245</v>
      </c>
    </row>
    <row r="23" spans="2:15" ht="12.75" customHeight="1">
      <c r="B23" s="463" t="s">
        <v>246</v>
      </c>
      <c r="C23" s="464"/>
      <c r="D23" s="464"/>
      <c r="E23" s="464"/>
      <c r="F23" s="465"/>
      <c r="I23" s="183" t="s">
        <v>247</v>
      </c>
    </row>
    <row r="24" spans="2:15" ht="12.75" customHeight="1">
      <c r="B24" s="466"/>
      <c r="C24" s="467"/>
      <c r="D24" s="467"/>
      <c r="E24" s="467"/>
      <c r="F24" s="468"/>
      <c r="I24" s="183" t="s">
        <v>248</v>
      </c>
    </row>
    <row r="25" spans="2:15" ht="12.75" customHeight="1">
      <c r="B25" s="448" t="s">
        <v>249</v>
      </c>
      <c r="C25" s="449"/>
      <c r="D25" s="449"/>
      <c r="E25" s="449"/>
      <c r="F25" s="450"/>
      <c r="I25" s="183" t="s">
        <v>250</v>
      </c>
    </row>
    <row r="26" spans="2:15" ht="12.75" customHeight="1">
      <c r="B26" s="448"/>
      <c r="C26" s="449"/>
      <c r="D26" s="449"/>
      <c r="E26" s="449"/>
      <c r="F26" s="450"/>
      <c r="I26" s="183" t="s">
        <v>251</v>
      </c>
    </row>
    <row r="27" spans="2:15" ht="12.75" customHeight="1">
      <c r="B27" s="448" t="s">
        <v>252</v>
      </c>
      <c r="C27" s="449"/>
      <c r="D27" s="449"/>
      <c r="E27" s="449"/>
      <c r="F27" s="450"/>
      <c r="I27" s="184" t="s">
        <v>253</v>
      </c>
    </row>
    <row r="28" spans="2:15" ht="12.75" customHeight="1">
      <c r="B28" s="448"/>
      <c r="C28" s="449"/>
      <c r="D28" s="449"/>
      <c r="E28" s="449"/>
      <c r="F28" s="450"/>
    </row>
    <row r="29" spans="2:15" ht="12.75" customHeight="1">
      <c r="B29" s="448"/>
      <c r="C29" s="449"/>
      <c r="D29" s="449"/>
      <c r="E29" s="449"/>
      <c r="F29" s="450"/>
    </row>
    <row r="30" spans="2:15" ht="12.75" customHeight="1">
      <c r="B30" s="448" t="s">
        <v>254</v>
      </c>
      <c r="C30" s="449"/>
      <c r="D30" s="449"/>
      <c r="E30" s="449"/>
      <c r="F30" s="450"/>
    </row>
    <row r="31" spans="2:15" ht="12.75" customHeight="1">
      <c r="B31" s="448"/>
      <c r="C31" s="449"/>
      <c r="D31" s="449"/>
      <c r="E31" s="449"/>
      <c r="F31" s="450"/>
    </row>
    <row r="32" spans="2:15" ht="12.75" customHeight="1">
      <c r="B32" s="448"/>
      <c r="C32" s="449"/>
      <c r="D32" s="449"/>
      <c r="E32" s="449"/>
      <c r="F32" s="450"/>
    </row>
    <row r="33" spans="2:6" ht="12.75" customHeight="1">
      <c r="B33" s="448" t="s">
        <v>255</v>
      </c>
      <c r="C33" s="449"/>
      <c r="D33" s="449"/>
      <c r="E33" s="449"/>
      <c r="F33" s="450"/>
    </row>
    <row r="34" spans="2:6" ht="12.75" customHeight="1">
      <c r="B34" s="448"/>
      <c r="C34" s="449"/>
      <c r="D34" s="449"/>
      <c r="E34" s="449"/>
      <c r="F34" s="450"/>
    </row>
    <row r="35" spans="2:6" ht="12.75" customHeight="1">
      <c r="B35" s="448"/>
      <c r="C35" s="449"/>
      <c r="D35" s="449"/>
      <c r="E35" s="449"/>
      <c r="F35" s="450"/>
    </row>
    <row r="36" spans="2:6" ht="12.75" customHeight="1">
      <c r="B36" s="448" t="s">
        <v>256</v>
      </c>
      <c r="C36" s="449"/>
      <c r="D36" s="449"/>
      <c r="E36" s="449"/>
      <c r="F36" s="450"/>
    </row>
    <row r="37" spans="2:6" ht="12.75" customHeight="1">
      <c r="B37" s="448"/>
      <c r="C37" s="449"/>
      <c r="D37" s="449"/>
      <c r="E37" s="449"/>
      <c r="F37" s="450"/>
    </row>
    <row r="38" spans="2:6" ht="12.75" customHeight="1">
      <c r="B38" s="448"/>
      <c r="C38" s="449"/>
      <c r="D38" s="449"/>
      <c r="E38" s="449"/>
      <c r="F38" s="450"/>
    </row>
    <row r="39" spans="2:6" ht="12.75" customHeight="1">
      <c r="B39" s="448" t="s">
        <v>257</v>
      </c>
      <c r="C39" s="449"/>
      <c r="D39" s="449"/>
      <c r="E39" s="449"/>
      <c r="F39" s="450"/>
    </row>
    <row r="40" spans="2:6" ht="12.75" customHeight="1">
      <c r="B40" s="448"/>
      <c r="C40" s="449"/>
      <c r="D40" s="449"/>
      <c r="E40" s="449"/>
      <c r="F40" s="450"/>
    </row>
    <row r="41" spans="2:6" ht="15" customHeight="1">
      <c r="B41" s="451"/>
      <c r="C41" s="452"/>
      <c r="D41" s="452"/>
      <c r="E41" s="452"/>
      <c r="F41" s="453"/>
    </row>
    <row r="42" spans="2:6">
      <c r="B42" s="177"/>
      <c r="C42" s="185"/>
      <c r="D42" s="185"/>
      <c r="E42" s="185"/>
      <c r="F42" s="185"/>
    </row>
    <row r="43" spans="2:6">
      <c r="B43" s="177"/>
      <c r="C43" s="185"/>
      <c r="D43" s="185"/>
      <c r="E43" s="185"/>
      <c r="F43" s="185"/>
    </row>
    <row r="44" spans="2:6">
      <c r="B44" s="177"/>
      <c r="C44" s="185"/>
      <c r="D44" s="185"/>
      <c r="E44" s="185"/>
      <c r="F44" s="185"/>
    </row>
  </sheetData>
  <sheetProtection formatCells="0" formatColumns="0" formatRows="0" insertColumns="0" insertRows="0" insertHyperlinks="0" deleteColumns="0" deleteRows="0" sort="0" autoFilter="0" pivotTables="0"/>
  <mergeCells count="16">
    <mergeCell ref="B2:F3"/>
    <mergeCell ref="N3:N6"/>
    <mergeCell ref="B36:F38"/>
    <mergeCell ref="B39:F41"/>
    <mergeCell ref="B19:F21"/>
    <mergeCell ref="B23:F24"/>
    <mergeCell ref="B25:F26"/>
    <mergeCell ref="B27:F29"/>
    <mergeCell ref="B30:F32"/>
    <mergeCell ref="B33:F35"/>
    <mergeCell ref="C4:D4"/>
    <mergeCell ref="B15:F15"/>
    <mergeCell ref="B10:B14"/>
    <mergeCell ref="L7:L8"/>
    <mergeCell ref="L9:L14"/>
    <mergeCell ref="L15:L16"/>
  </mergeCells>
  <phoneticPr fontId="52" type="noConversion"/>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B2:F82"/>
  <sheetViews>
    <sheetView topLeftCell="A6" workbookViewId="0">
      <selection activeCell="C16" sqref="C16"/>
    </sheetView>
  </sheetViews>
  <sheetFormatPr defaultColWidth="11.08203125" defaultRowHeight="14"/>
  <cols>
    <col min="1" max="1" width="11.08203125" style="146"/>
    <col min="2" max="2" width="24.08203125" style="157" customWidth="1"/>
    <col min="3" max="3" width="26.9140625" style="146" customWidth="1"/>
    <col min="4" max="4" width="22.9140625" style="146" customWidth="1"/>
    <col min="5" max="5" width="20.6640625" style="146" customWidth="1"/>
    <col min="6" max="6" width="20.83203125" style="146" customWidth="1"/>
    <col min="7" max="16384" width="11.08203125" style="146"/>
  </cols>
  <sheetData>
    <row r="2" spans="2:6" ht="18.75" customHeight="1">
      <c r="B2" s="474" t="s">
        <v>258</v>
      </c>
      <c r="C2" s="475"/>
      <c r="D2" s="475"/>
      <c r="E2" s="475"/>
      <c r="F2" s="476"/>
    </row>
    <row r="3" spans="2:6" s="148" customFormat="1">
      <c r="B3" s="477"/>
      <c r="C3" s="478"/>
      <c r="D3" s="478"/>
      <c r="E3" s="478"/>
      <c r="F3" s="479"/>
    </row>
    <row r="4" spans="2:6" ht="18">
      <c r="B4" s="149"/>
      <c r="C4" s="149"/>
      <c r="D4" s="150"/>
      <c r="E4" s="150"/>
    </row>
    <row r="5" spans="2:6" s="148" customFormat="1">
      <c r="B5" s="482" t="s">
        <v>259</v>
      </c>
      <c r="C5" s="483"/>
      <c r="D5" s="483"/>
      <c r="E5" s="483"/>
      <c r="F5" s="484"/>
    </row>
    <row r="6" spans="2:6">
      <c r="B6" s="496"/>
      <c r="C6" s="480" t="s">
        <v>260</v>
      </c>
      <c r="D6" s="480"/>
      <c r="E6" s="480"/>
      <c r="F6" s="481"/>
    </row>
    <row r="7" spans="2:6">
      <c r="B7" s="470"/>
      <c r="C7" s="158" t="s">
        <v>181</v>
      </c>
      <c r="D7" s="158" t="s">
        <v>261</v>
      </c>
      <c r="E7" s="158" t="s">
        <v>262</v>
      </c>
      <c r="F7" s="163" t="s">
        <v>263</v>
      </c>
    </row>
    <row r="8" spans="2:6">
      <c r="B8" s="151" t="s">
        <v>125</v>
      </c>
      <c r="C8" s="153" t="s">
        <v>264</v>
      </c>
      <c r="D8" s="153" t="s">
        <v>265</v>
      </c>
      <c r="E8" s="153" t="s">
        <v>266</v>
      </c>
      <c r="F8" s="156" t="s">
        <v>267</v>
      </c>
    </row>
    <row r="9" spans="2:6" ht="26">
      <c r="B9" s="159" t="s">
        <v>268</v>
      </c>
      <c r="C9" s="153" t="s">
        <v>269</v>
      </c>
      <c r="D9" s="153" t="s">
        <v>270</v>
      </c>
      <c r="E9" s="153" t="s">
        <v>271</v>
      </c>
      <c r="F9" s="156" t="s">
        <v>272</v>
      </c>
    </row>
    <row r="10" spans="2:6" ht="25">
      <c r="B10" s="470" t="s">
        <v>273</v>
      </c>
      <c r="C10" s="153" t="s">
        <v>230</v>
      </c>
      <c r="D10" s="339" t="s">
        <v>274</v>
      </c>
      <c r="E10" s="339" t="s">
        <v>275</v>
      </c>
      <c r="F10" s="340" t="s">
        <v>276</v>
      </c>
    </row>
    <row r="11" spans="2:6" ht="16.5" customHeight="1">
      <c r="B11" s="470"/>
      <c r="C11" s="153" t="s">
        <v>230</v>
      </c>
      <c r="D11" s="339" t="s">
        <v>277</v>
      </c>
      <c r="E11" s="153" t="s">
        <v>230</v>
      </c>
      <c r="F11" s="340" t="s">
        <v>278</v>
      </c>
    </row>
    <row r="12" spans="2:6" ht="16.5" customHeight="1">
      <c r="B12" s="470" t="s">
        <v>279</v>
      </c>
      <c r="C12" s="153" t="s">
        <v>230</v>
      </c>
      <c r="D12" s="339" t="s">
        <v>280</v>
      </c>
      <c r="E12" s="339" t="s">
        <v>281</v>
      </c>
      <c r="F12" s="156" t="s">
        <v>230</v>
      </c>
    </row>
    <row r="13" spans="2:6">
      <c r="B13" s="470"/>
      <c r="C13" s="153" t="s">
        <v>230</v>
      </c>
      <c r="D13" s="339" t="s">
        <v>282</v>
      </c>
      <c r="E13" s="153" t="s">
        <v>230</v>
      </c>
      <c r="F13" s="156" t="s">
        <v>230</v>
      </c>
    </row>
    <row r="14" spans="2:6" ht="25">
      <c r="B14" s="470" t="s">
        <v>283</v>
      </c>
      <c r="C14" s="339" t="s">
        <v>284</v>
      </c>
      <c r="D14" s="339" t="s">
        <v>285</v>
      </c>
      <c r="E14" s="339" t="s">
        <v>286</v>
      </c>
      <c r="F14" s="156" t="s">
        <v>230</v>
      </c>
    </row>
    <row r="15" spans="2:6" ht="16.5" customHeight="1">
      <c r="B15" s="470"/>
      <c r="C15" s="153" t="s">
        <v>230</v>
      </c>
      <c r="D15" s="339" t="s">
        <v>287</v>
      </c>
      <c r="E15" s="153" t="s">
        <v>230</v>
      </c>
      <c r="F15" s="156" t="s">
        <v>230</v>
      </c>
    </row>
    <row r="16" spans="2:6">
      <c r="B16" s="470"/>
      <c r="C16" s="339" t="s">
        <v>288</v>
      </c>
      <c r="D16" s="339" t="s">
        <v>289</v>
      </c>
      <c r="E16" s="153" t="s">
        <v>230</v>
      </c>
      <c r="F16" s="156" t="s">
        <v>230</v>
      </c>
    </row>
    <row r="17" spans="2:6" ht="25">
      <c r="B17" s="470" t="s">
        <v>290</v>
      </c>
      <c r="C17" s="339" t="s">
        <v>291</v>
      </c>
      <c r="D17" s="339" t="s">
        <v>292</v>
      </c>
      <c r="E17" s="339" t="s">
        <v>293</v>
      </c>
      <c r="F17" s="340" t="s">
        <v>294</v>
      </c>
    </row>
    <row r="18" spans="2:6">
      <c r="B18" s="470"/>
      <c r="C18" s="153" t="s">
        <v>230</v>
      </c>
      <c r="D18" s="339" t="s">
        <v>295</v>
      </c>
      <c r="E18" s="153" t="s">
        <v>230</v>
      </c>
      <c r="F18" s="340" t="s">
        <v>296</v>
      </c>
    </row>
    <row r="19" spans="2:6" ht="25">
      <c r="B19" s="470"/>
      <c r="C19" s="153" t="s">
        <v>230</v>
      </c>
      <c r="D19" s="153" t="s">
        <v>230</v>
      </c>
      <c r="E19" s="153" t="s">
        <v>230</v>
      </c>
      <c r="F19" s="340" t="s">
        <v>297</v>
      </c>
    </row>
    <row r="20" spans="2:6" ht="25">
      <c r="B20" s="497"/>
      <c r="C20" s="154" t="s">
        <v>230</v>
      </c>
      <c r="D20" s="341" t="s">
        <v>298</v>
      </c>
      <c r="E20" s="154" t="s">
        <v>230</v>
      </c>
      <c r="F20" s="342" t="s">
        <v>299</v>
      </c>
    </row>
    <row r="21" spans="2:6" ht="14.25" customHeight="1">
      <c r="B21" s="160"/>
      <c r="C21" s="160"/>
      <c r="D21" s="161"/>
      <c r="E21" s="164"/>
      <c r="F21" s="161"/>
    </row>
    <row r="23" spans="2:6" s="148" customFormat="1" ht="13.5" customHeight="1">
      <c r="B23" s="482" t="s">
        <v>300</v>
      </c>
      <c r="C23" s="483"/>
      <c r="D23" s="483"/>
      <c r="E23" s="483"/>
      <c r="F23" s="484"/>
    </row>
    <row r="24" spans="2:6">
      <c r="B24" s="496"/>
      <c r="C24" s="485" t="s">
        <v>260</v>
      </c>
      <c r="D24" s="485"/>
      <c r="E24" s="485"/>
      <c r="F24" s="486"/>
    </row>
    <row r="25" spans="2:6">
      <c r="B25" s="470"/>
      <c r="C25" s="152" t="s">
        <v>181</v>
      </c>
      <c r="D25" s="152" t="s">
        <v>261</v>
      </c>
      <c r="E25" s="152" t="s">
        <v>262</v>
      </c>
      <c r="F25" s="155" t="s">
        <v>263</v>
      </c>
    </row>
    <row r="26" spans="2:6">
      <c r="B26" s="151" t="s">
        <v>125</v>
      </c>
      <c r="C26" s="162" t="s">
        <v>264</v>
      </c>
      <c r="D26" s="153" t="s">
        <v>265</v>
      </c>
      <c r="E26" s="153" t="s">
        <v>266</v>
      </c>
      <c r="F26" s="156" t="s">
        <v>267</v>
      </c>
    </row>
    <row r="27" spans="2:6" ht="37.5">
      <c r="B27" s="159" t="s">
        <v>301</v>
      </c>
      <c r="C27" s="153" t="s">
        <v>302</v>
      </c>
      <c r="D27" s="153" t="s">
        <v>303</v>
      </c>
      <c r="E27" s="153" t="s">
        <v>304</v>
      </c>
      <c r="F27" s="156" t="s">
        <v>305</v>
      </c>
    </row>
    <row r="28" spans="2:6" ht="29.25" customHeight="1">
      <c r="B28" s="151" t="s">
        <v>273</v>
      </c>
      <c r="C28" s="153" t="s">
        <v>230</v>
      </c>
      <c r="D28" s="339" t="s">
        <v>306</v>
      </c>
      <c r="E28" s="153" t="s">
        <v>230</v>
      </c>
      <c r="F28" s="156" t="s">
        <v>230</v>
      </c>
    </row>
    <row r="29" spans="2:6" ht="15.75" customHeight="1">
      <c r="B29" s="151" t="s">
        <v>279</v>
      </c>
      <c r="C29" s="153" t="s">
        <v>230</v>
      </c>
      <c r="D29" s="339" t="s">
        <v>280</v>
      </c>
      <c r="E29" s="339" t="s">
        <v>281</v>
      </c>
      <c r="F29" s="156" t="s">
        <v>230</v>
      </c>
    </row>
    <row r="30" spans="2:6" ht="25">
      <c r="B30" s="470" t="s">
        <v>283</v>
      </c>
      <c r="C30" s="339" t="s">
        <v>307</v>
      </c>
      <c r="D30" s="339" t="s">
        <v>287</v>
      </c>
      <c r="E30" s="339" t="s">
        <v>308</v>
      </c>
      <c r="F30" s="156" t="s">
        <v>230</v>
      </c>
    </row>
    <row r="31" spans="2:6" ht="25">
      <c r="B31" s="470"/>
      <c r="C31" s="339" t="s">
        <v>309</v>
      </c>
      <c r="D31" s="153" t="s">
        <v>230</v>
      </c>
      <c r="E31" s="339" t="s">
        <v>286</v>
      </c>
      <c r="F31" s="156" t="s">
        <v>230</v>
      </c>
    </row>
    <row r="32" spans="2:6" ht="25">
      <c r="B32" s="470" t="s">
        <v>290</v>
      </c>
      <c r="C32" s="153" t="s">
        <v>230</v>
      </c>
      <c r="D32" s="339" t="s">
        <v>310</v>
      </c>
      <c r="E32" s="339" t="s">
        <v>295</v>
      </c>
      <c r="F32" s="340" t="s">
        <v>311</v>
      </c>
    </row>
    <row r="33" spans="2:6">
      <c r="B33" s="470"/>
      <c r="C33" s="153" t="s">
        <v>230</v>
      </c>
      <c r="D33" s="153" t="s">
        <v>230</v>
      </c>
      <c r="E33" s="153" t="s">
        <v>230</v>
      </c>
      <c r="F33" s="340" t="s">
        <v>312</v>
      </c>
    </row>
    <row r="34" spans="2:6">
      <c r="B34" s="470"/>
      <c r="C34" s="153" t="s">
        <v>230</v>
      </c>
      <c r="D34" s="153" t="s">
        <v>230</v>
      </c>
      <c r="E34" s="153" t="s">
        <v>230</v>
      </c>
      <c r="F34" s="340" t="s">
        <v>313</v>
      </c>
    </row>
    <row r="35" spans="2:6">
      <c r="B35" s="497"/>
      <c r="C35" s="154" t="s">
        <v>230</v>
      </c>
      <c r="D35" s="154" t="s">
        <v>230</v>
      </c>
      <c r="E35" s="154" t="s">
        <v>230</v>
      </c>
      <c r="F35" s="342" t="s">
        <v>292</v>
      </c>
    </row>
    <row r="37" spans="2:6">
      <c r="B37" s="165"/>
      <c r="C37" s="165"/>
      <c r="D37" s="165"/>
      <c r="E37" s="165"/>
      <c r="F37" s="165"/>
    </row>
    <row r="38" spans="2:6" s="147" customFormat="1" ht="12.75" customHeight="1">
      <c r="B38" s="487" t="s">
        <v>314</v>
      </c>
      <c r="C38" s="488"/>
      <c r="D38" s="488"/>
      <c r="E38" s="488"/>
      <c r="F38" s="489"/>
    </row>
    <row r="39" spans="2:6" s="147" customFormat="1" ht="12.75" customHeight="1">
      <c r="B39" s="490" t="s">
        <v>315</v>
      </c>
      <c r="C39" s="491"/>
      <c r="D39" s="491"/>
      <c r="E39" s="491"/>
      <c r="F39" s="492"/>
    </row>
    <row r="40" spans="2:6" s="147" customFormat="1" ht="12.75" customHeight="1">
      <c r="B40" s="466"/>
      <c r="C40" s="467"/>
      <c r="D40" s="467"/>
      <c r="E40" s="467"/>
      <c r="F40" s="468"/>
    </row>
    <row r="41" spans="2:6" s="147" customFormat="1" ht="12.75" customHeight="1">
      <c r="B41" s="466" t="s">
        <v>316</v>
      </c>
      <c r="C41" s="467"/>
      <c r="D41" s="467"/>
      <c r="E41" s="467"/>
      <c r="F41" s="468"/>
    </row>
    <row r="42" spans="2:6" s="147" customFormat="1" ht="12.75" customHeight="1">
      <c r="B42" s="466"/>
      <c r="C42" s="467"/>
      <c r="D42" s="467"/>
      <c r="E42" s="467"/>
      <c r="F42" s="468"/>
    </row>
    <row r="43" spans="2:6" s="147" customFormat="1" ht="12.75" customHeight="1">
      <c r="B43" s="448" t="s">
        <v>317</v>
      </c>
      <c r="C43" s="449"/>
      <c r="D43" s="449"/>
      <c r="E43" s="449"/>
      <c r="F43" s="450"/>
    </row>
    <row r="44" spans="2:6" s="147" customFormat="1" ht="12.75" customHeight="1">
      <c r="B44" s="448"/>
      <c r="C44" s="449"/>
      <c r="D44" s="449"/>
      <c r="E44" s="449"/>
      <c r="F44" s="450"/>
    </row>
    <row r="45" spans="2:6" s="147" customFormat="1" ht="12.75" customHeight="1">
      <c r="B45" s="448" t="s">
        <v>318</v>
      </c>
      <c r="C45" s="449"/>
      <c r="D45" s="449"/>
      <c r="E45" s="449"/>
      <c r="F45" s="450"/>
    </row>
    <row r="46" spans="2:6" s="147" customFormat="1" ht="12.75" customHeight="1">
      <c r="B46" s="448"/>
      <c r="C46" s="449"/>
      <c r="D46" s="449"/>
      <c r="E46" s="449"/>
      <c r="F46" s="450"/>
    </row>
    <row r="47" spans="2:6" s="147" customFormat="1" ht="12.75" customHeight="1">
      <c r="B47" s="498" t="s">
        <v>319</v>
      </c>
      <c r="C47" s="499"/>
      <c r="D47" s="499"/>
      <c r="E47" s="499"/>
      <c r="F47" s="500"/>
    </row>
    <row r="48" spans="2:6" s="147" customFormat="1" ht="12.75" customHeight="1">
      <c r="B48" s="498"/>
      <c r="C48" s="499"/>
      <c r="D48" s="499"/>
      <c r="E48" s="499"/>
      <c r="F48" s="500"/>
    </row>
    <row r="49" spans="2:6" s="147" customFormat="1" ht="12.75" customHeight="1">
      <c r="B49" s="448" t="s">
        <v>320</v>
      </c>
      <c r="C49" s="449"/>
      <c r="D49" s="449"/>
      <c r="E49" s="449"/>
      <c r="F49" s="450"/>
    </row>
    <row r="50" spans="2:6" s="147" customFormat="1" ht="14.25" customHeight="1">
      <c r="B50" s="451"/>
      <c r="C50" s="452"/>
      <c r="D50" s="452"/>
      <c r="E50" s="452"/>
      <c r="F50" s="453"/>
    </row>
    <row r="53" spans="2:6" s="148" customFormat="1">
      <c r="B53" s="493" t="s">
        <v>321</v>
      </c>
      <c r="C53" s="494"/>
      <c r="D53" s="494"/>
      <c r="E53" s="494"/>
      <c r="F53" s="495"/>
    </row>
    <row r="54" spans="2:6" ht="16.5" customHeight="1">
      <c r="B54" s="496"/>
      <c r="C54" s="480" t="s">
        <v>260</v>
      </c>
      <c r="D54" s="480"/>
      <c r="E54" s="480"/>
      <c r="F54" s="481"/>
    </row>
    <row r="55" spans="2:6" ht="16.5" customHeight="1">
      <c r="B55" s="470"/>
      <c r="C55" s="158" t="s">
        <v>181</v>
      </c>
      <c r="D55" s="158" t="s">
        <v>261</v>
      </c>
      <c r="E55" s="158" t="s">
        <v>262</v>
      </c>
      <c r="F55" s="163" t="s">
        <v>263</v>
      </c>
    </row>
    <row r="56" spans="2:6" ht="16.5" customHeight="1">
      <c r="B56" s="151" t="s">
        <v>125</v>
      </c>
      <c r="C56" s="153" t="s">
        <v>264</v>
      </c>
      <c r="D56" s="153" t="s">
        <v>265</v>
      </c>
      <c r="E56" s="153" t="s">
        <v>266</v>
      </c>
      <c r="F56" s="156" t="s">
        <v>267</v>
      </c>
    </row>
    <row r="57" spans="2:6" ht="26">
      <c r="B57" s="151" t="s">
        <v>268</v>
      </c>
      <c r="C57" s="153" t="s">
        <v>269</v>
      </c>
      <c r="D57" s="153" t="s">
        <v>270</v>
      </c>
      <c r="E57" s="153" t="s">
        <v>271</v>
      </c>
      <c r="F57" s="156" t="s">
        <v>272</v>
      </c>
    </row>
    <row r="58" spans="2:6" ht="26">
      <c r="B58" s="151" t="s">
        <v>322</v>
      </c>
      <c r="C58" s="153" t="s">
        <v>230</v>
      </c>
      <c r="D58" s="339" t="s">
        <v>323</v>
      </c>
      <c r="E58" s="339" t="s">
        <v>324</v>
      </c>
      <c r="F58" s="340" t="s">
        <v>230</v>
      </c>
    </row>
    <row r="59" spans="2:6" ht="65">
      <c r="B59" s="151" t="s">
        <v>325</v>
      </c>
      <c r="C59" s="153" t="s">
        <v>326</v>
      </c>
      <c r="D59" s="339" t="s">
        <v>230</v>
      </c>
      <c r="E59" s="153" t="s">
        <v>230</v>
      </c>
      <c r="F59" s="340" t="s">
        <v>230</v>
      </c>
    </row>
    <row r="60" spans="2:6" ht="26">
      <c r="B60" s="151" t="s">
        <v>327</v>
      </c>
      <c r="C60" s="153" t="s">
        <v>230</v>
      </c>
      <c r="D60" s="339" t="s">
        <v>230</v>
      </c>
      <c r="E60" s="339" t="s">
        <v>328</v>
      </c>
      <c r="F60" s="156" t="s">
        <v>329</v>
      </c>
    </row>
    <row r="61" spans="2:6" ht="39">
      <c r="B61" s="151" t="s">
        <v>330</v>
      </c>
      <c r="C61" s="153" t="s">
        <v>230</v>
      </c>
      <c r="D61" s="339" t="s">
        <v>331</v>
      </c>
      <c r="E61" s="153" t="s">
        <v>230</v>
      </c>
      <c r="F61" s="156" t="s">
        <v>230</v>
      </c>
    </row>
    <row r="62" spans="2:6" ht="78">
      <c r="B62" s="151" t="s">
        <v>332</v>
      </c>
      <c r="C62" s="339" t="s">
        <v>333</v>
      </c>
      <c r="D62" s="339" t="s">
        <v>334</v>
      </c>
      <c r="E62" s="339" t="s">
        <v>230</v>
      </c>
      <c r="F62" s="156" t="s">
        <v>335</v>
      </c>
    </row>
    <row r="63" spans="2:6" ht="16.5" customHeight="1">
      <c r="B63" s="151" t="s">
        <v>336</v>
      </c>
      <c r="C63" s="153" t="s">
        <v>337</v>
      </c>
      <c r="D63" s="339" t="s">
        <v>328</v>
      </c>
      <c r="E63" s="153" t="s">
        <v>335</v>
      </c>
      <c r="F63" s="156" t="s">
        <v>230</v>
      </c>
    </row>
    <row r="64" spans="2:6" ht="26">
      <c r="B64" s="151" t="s">
        <v>338</v>
      </c>
      <c r="C64" s="339" t="s">
        <v>230</v>
      </c>
      <c r="D64" s="339" t="s">
        <v>230</v>
      </c>
      <c r="E64" s="153" t="s">
        <v>339</v>
      </c>
      <c r="F64" s="156" t="s">
        <v>340</v>
      </c>
    </row>
    <row r="65" spans="2:6" ht="26">
      <c r="B65" s="151" t="s">
        <v>341</v>
      </c>
      <c r="C65" s="153" t="s">
        <v>230</v>
      </c>
      <c r="D65" s="153" t="s">
        <v>339</v>
      </c>
      <c r="E65" s="153" t="s">
        <v>340</v>
      </c>
      <c r="F65" s="340" t="s">
        <v>230</v>
      </c>
    </row>
    <row r="66" spans="2:6" ht="28.5" customHeight="1">
      <c r="B66" s="451" t="s">
        <v>342</v>
      </c>
      <c r="C66" s="452"/>
      <c r="D66" s="452"/>
      <c r="E66" s="452"/>
      <c r="F66" s="453"/>
    </row>
    <row r="69" spans="2:6" s="148" customFormat="1">
      <c r="B69" s="493" t="s">
        <v>343</v>
      </c>
      <c r="C69" s="494"/>
      <c r="D69" s="494"/>
      <c r="E69" s="494"/>
      <c r="F69" s="495"/>
    </row>
    <row r="70" spans="2:6" ht="16.5" customHeight="1">
      <c r="B70" s="496"/>
      <c r="C70" s="480" t="s">
        <v>260</v>
      </c>
      <c r="D70" s="480"/>
      <c r="E70" s="480"/>
      <c r="F70" s="481"/>
    </row>
    <row r="71" spans="2:6" ht="16.5" customHeight="1">
      <c r="B71" s="470"/>
      <c r="C71" s="158" t="s">
        <v>181</v>
      </c>
      <c r="D71" s="158" t="s">
        <v>261</v>
      </c>
      <c r="E71" s="158" t="s">
        <v>262</v>
      </c>
      <c r="F71" s="163" t="s">
        <v>263</v>
      </c>
    </row>
    <row r="72" spans="2:6" ht="16.5" customHeight="1">
      <c r="B72" s="151" t="s">
        <v>125</v>
      </c>
      <c r="C72" s="153" t="s">
        <v>264</v>
      </c>
      <c r="D72" s="153" t="s">
        <v>265</v>
      </c>
      <c r="E72" s="153" t="s">
        <v>266</v>
      </c>
      <c r="F72" s="156" t="s">
        <v>267</v>
      </c>
    </row>
    <row r="73" spans="2:6" ht="37.5">
      <c r="B73" s="151" t="s">
        <v>301</v>
      </c>
      <c r="C73" s="153" t="s">
        <v>302</v>
      </c>
      <c r="D73" s="153" t="s">
        <v>303</v>
      </c>
      <c r="E73" s="153" t="s">
        <v>304</v>
      </c>
      <c r="F73" s="156" t="s">
        <v>305</v>
      </c>
    </row>
    <row r="74" spans="2:6" ht="26">
      <c r="B74" s="151" t="s">
        <v>322</v>
      </c>
      <c r="C74" s="153" t="s">
        <v>230</v>
      </c>
      <c r="D74" s="339" t="s">
        <v>230</v>
      </c>
      <c r="E74" s="339" t="s">
        <v>344</v>
      </c>
      <c r="F74" s="340" t="s">
        <v>326</v>
      </c>
    </row>
    <row r="75" spans="2:6" ht="65">
      <c r="B75" s="151" t="s">
        <v>325</v>
      </c>
      <c r="C75" s="153" t="s">
        <v>230</v>
      </c>
      <c r="D75" s="339" t="s">
        <v>230</v>
      </c>
      <c r="E75" s="153" t="s">
        <v>326</v>
      </c>
      <c r="F75" s="340" t="s">
        <v>230</v>
      </c>
    </row>
    <row r="76" spans="2:6" ht="26">
      <c r="B76" s="151" t="s">
        <v>327</v>
      </c>
      <c r="C76" s="153" t="s">
        <v>230</v>
      </c>
      <c r="D76" s="339" t="s">
        <v>230</v>
      </c>
      <c r="E76" s="339" t="s">
        <v>328</v>
      </c>
      <c r="F76" s="156" t="s">
        <v>329</v>
      </c>
    </row>
    <row r="77" spans="2:6" ht="39">
      <c r="B77" s="151" t="s">
        <v>330</v>
      </c>
      <c r="C77" s="153" t="s">
        <v>230</v>
      </c>
      <c r="D77" s="339" t="s">
        <v>324</v>
      </c>
      <c r="E77" s="153" t="s">
        <v>333</v>
      </c>
      <c r="F77" s="156" t="s">
        <v>230</v>
      </c>
    </row>
    <row r="78" spans="2:6" ht="78">
      <c r="B78" s="151" t="s">
        <v>332</v>
      </c>
      <c r="C78" s="339" t="s">
        <v>333</v>
      </c>
      <c r="D78" s="339" t="s">
        <v>334</v>
      </c>
      <c r="E78" s="339" t="s">
        <v>230</v>
      </c>
      <c r="F78" s="156" t="s">
        <v>335</v>
      </c>
    </row>
    <row r="79" spans="2:6" ht="16.5" customHeight="1">
      <c r="B79" s="151" t="s">
        <v>336</v>
      </c>
      <c r="C79" s="153" t="s">
        <v>337</v>
      </c>
      <c r="D79" s="339" t="s">
        <v>328</v>
      </c>
      <c r="E79" s="153" t="s">
        <v>230</v>
      </c>
      <c r="F79" s="156" t="s">
        <v>335</v>
      </c>
    </row>
    <row r="80" spans="2:6" ht="39">
      <c r="B80" s="151" t="s">
        <v>345</v>
      </c>
      <c r="C80" s="153" t="s">
        <v>230</v>
      </c>
      <c r="D80" s="153" t="s">
        <v>230</v>
      </c>
      <c r="E80" s="153" t="s">
        <v>230</v>
      </c>
      <c r="F80" s="340" t="s">
        <v>346</v>
      </c>
    </row>
    <row r="81" spans="2:6" ht="28.5" customHeight="1">
      <c r="B81" s="451" t="s">
        <v>347</v>
      </c>
      <c r="C81" s="452"/>
      <c r="D81" s="452"/>
      <c r="E81" s="452"/>
      <c r="F81" s="453"/>
    </row>
    <row r="82" spans="2:6" ht="14.25" customHeight="1">
      <c r="B82" s="160"/>
      <c r="C82" s="160"/>
      <c r="D82" s="161"/>
      <c r="E82" s="164"/>
      <c r="F82" s="161"/>
    </row>
  </sheetData>
  <sheetProtection formatCells="0" formatColumns="0" formatRows="0" insertColumns="0" insertRows="0" insertHyperlinks="0" deleteColumns="0" deleteRows="0" sort="0" autoFilter="0" pivotTables="0"/>
  <mergeCells count="28">
    <mergeCell ref="B2:F3"/>
    <mergeCell ref="B81:F81"/>
    <mergeCell ref="B6:B7"/>
    <mergeCell ref="B10:B11"/>
    <mergeCell ref="B12:B13"/>
    <mergeCell ref="B14:B16"/>
    <mergeCell ref="B17:B20"/>
    <mergeCell ref="B24:B25"/>
    <mergeCell ref="B30:B31"/>
    <mergeCell ref="B32:B35"/>
    <mergeCell ref="B54:B55"/>
    <mergeCell ref="B70:B71"/>
    <mergeCell ref="B47:F48"/>
    <mergeCell ref="B49:F50"/>
    <mergeCell ref="B45:F46"/>
    <mergeCell ref="B69:F69"/>
    <mergeCell ref="C70:F70"/>
    <mergeCell ref="B5:F5"/>
    <mergeCell ref="C6:F6"/>
    <mergeCell ref="B23:F23"/>
    <mergeCell ref="C24:F24"/>
    <mergeCell ref="B38:F38"/>
    <mergeCell ref="B39:F40"/>
    <mergeCell ref="B41:F42"/>
    <mergeCell ref="B53:F53"/>
    <mergeCell ref="C54:F54"/>
    <mergeCell ref="B66:F66"/>
    <mergeCell ref="B43:F44"/>
  </mergeCells>
  <phoneticPr fontId="52" type="noConversion"/>
  <pageMargins left="0.7" right="0.7" top="0.75" bottom="0.75" header="0.3" footer="0.3"/>
  <headerFooter>
    <oddHeader>&amp;L&amp;"Calibri"&amp;10&amp;K000000 INTERNAL&amp;1#_x000D_</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B2:F24"/>
  <sheetViews>
    <sheetView workbookViewId="0">
      <selection activeCell="J16" sqref="J16"/>
    </sheetView>
  </sheetViews>
  <sheetFormatPr defaultColWidth="12.1640625" defaultRowHeight="14"/>
  <cols>
    <col min="1" max="1" width="12.1640625" style="148"/>
    <col min="2" max="2" width="25.6640625" style="148" customWidth="1"/>
    <col min="3" max="3" width="29.1640625" style="148" customWidth="1"/>
    <col min="4" max="4" width="23.33203125" style="148" customWidth="1"/>
    <col min="5" max="5" width="24.4140625" style="148" customWidth="1"/>
    <col min="6" max="6" width="22" style="148" customWidth="1"/>
    <col min="7" max="16384" width="12.1640625" style="148"/>
  </cols>
  <sheetData>
    <row r="2" spans="2:6">
      <c r="B2" s="501" t="s">
        <v>348</v>
      </c>
      <c r="C2" s="502"/>
      <c r="D2" s="502"/>
      <c r="E2" s="502"/>
      <c r="F2" s="503"/>
    </row>
    <row r="3" spans="2:6">
      <c r="B3" s="477"/>
      <c r="C3" s="478"/>
      <c r="D3" s="478"/>
      <c r="E3" s="478"/>
      <c r="F3" s="479"/>
    </row>
    <row r="4" spans="2:6" s="146" customFormat="1" ht="18">
      <c r="B4" s="149"/>
      <c r="C4" s="149"/>
      <c r="D4" s="150"/>
      <c r="E4" s="150"/>
    </row>
    <row r="5" spans="2:6" s="147" customFormat="1" ht="13">
      <c r="B5" s="504" t="s">
        <v>349</v>
      </c>
      <c r="C5" s="505"/>
      <c r="D5" s="505"/>
      <c r="E5" s="505"/>
      <c r="F5" s="506"/>
    </row>
    <row r="6" spans="2:6">
      <c r="B6" s="496"/>
      <c r="C6" s="485" t="s">
        <v>350</v>
      </c>
      <c r="D6" s="485"/>
      <c r="E6" s="485"/>
      <c r="F6" s="486"/>
    </row>
    <row r="7" spans="2:6">
      <c r="B7" s="470"/>
      <c r="C7" s="152" t="s">
        <v>351</v>
      </c>
      <c r="D7" s="152" t="s">
        <v>352</v>
      </c>
      <c r="E7" s="152" t="s">
        <v>182</v>
      </c>
      <c r="F7" s="155" t="s">
        <v>353</v>
      </c>
    </row>
    <row r="8" spans="2:6" ht="25">
      <c r="B8" s="151" t="s">
        <v>125</v>
      </c>
      <c r="C8" s="153" t="s">
        <v>354</v>
      </c>
      <c r="D8" s="153" t="s">
        <v>355</v>
      </c>
      <c r="E8" s="153" t="s">
        <v>356</v>
      </c>
      <c r="F8" s="156" t="s">
        <v>357</v>
      </c>
    </row>
    <row r="9" spans="2:6" ht="50">
      <c r="B9" s="151" t="s">
        <v>358</v>
      </c>
      <c r="C9" s="153" t="s">
        <v>354</v>
      </c>
      <c r="D9" s="153" t="s">
        <v>359</v>
      </c>
      <c r="E9" s="153" t="s">
        <v>360</v>
      </c>
      <c r="F9" s="156" t="s">
        <v>361</v>
      </c>
    </row>
    <row r="10" spans="2:6" ht="65">
      <c r="B10" s="151" t="s">
        <v>362</v>
      </c>
      <c r="C10" s="153" t="s">
        <v>363</v>
      </c>
      <c r="D10" s="153" t="s">
        <v>230</v>
      </c>
      <c r="E10" s="153" t="s">
        <v>230</v>
      </c>
      <c r="F10" s="156" t="s">
        <v>230</v>
      </c>
    </row>
    <row r="11" spans="2:6" ht="52">
      <c r="B11" s="151" t="s">
        <v>364</v>
      </c>
      <c r="C11" s="153" t="s">
        <v>363</v>
      </c>
      <c r="D11" s="153" t="s">
        <v>230</v>
      </c>
      <c r="E11" s="153" t="s">
        <v>230</v>
      </c>
      <c r="F11" s="156" t="s">
        <v>230</v>
      </c>
    </row>
    <row r="12" spans="2:6" ht="26">
      <c r="B12" s="151" t="s">
        <v>365</v>
      </c>
      <c r="C12" s="153" t="s">
        <v>230</v>
      </c>
      <c r="D12" s="153" t="s">
        <v>366</v>
      </c>
      <c r="E12" s="153" t="s">
        <v>230</v>
      </c>
      <c r="F12" s="156" t="s">
        <v>230</v>
      </c>
    </row>
    <row r="13" spans="2:6" ht="39">
      <c r="B13" s="151" t="s">
        <v>367</v>
      </c>
      <c r="C13" s="153" t="s">
        <v>230</v>
      </c>
      <c r="D13" s="153" t="s">
        <v>368</v>
      </c>
      <c r="E13" s="153" t="s">
        <v>230</v>
      </c>
      <c r="F13" s="156" t="s">
        <v>230</v>
      </c>
    </row>
    <row r="14" spans="2:6" ht="26">
      <c r="B14" s="151" t="s">
        <v>369</v>
      </c>
      <c r="C14" s="153" t="s">
        <v>230</v>
      </c>
      <c r="D14" s="153" t="s">
        <v>230</v>
      </c>
      <c r="E14" s="153" t="s">
        <v>363</v>
      </c>
      <c r="F14" s="156" t="s">
        <v>230</v>
      </c>
    </row>
    <row r="15" spans="2:6" ht="26">
      <c r="B15" s="151" t="s">
        <v>370</v>
      </c>
      <c r="C15" s="153" t="s">
        <v>230</v>
      </c>
      <c r="D15" s="153" t="s">
        <v>230</v>
      </c>
      <c r="E15" s="153" t="s">
        <v>363</v>
      </c>
      <c r="F15" s="156" t="s">
        <v>230</v>
      </c>
    </row>
    <row r="16" spans="2:6" ht="52">
      <c r="B16" s="151" t="s">
        <v>371</v>
      </c>
      <c r="C16" s="153" t="s">
        <v>230</v>
      </c>
      <c r="D16" s="153" t="s">
        <v>230</v>
      </c>
      <c r="E16" s="153" t="s">
        <v>372</v>
      </c>
      <c r="F16" s="156" t="s">
        <v>230</v>
      </c>
    </row>
    <row r="17" spans="2:6" ht="25">
      <c r="B17" s="151" t="s">
        <v>373</v>
      </c>
      <c r="C17" s="153" t="s">
        <v>230</v>
      </c>
      <c r="D17" s="153" t="s">
        <v>230</v>
      </c>
      <c r="E17" s="153" t="s">
        <v>230</v>
      </c>
      <c r="F17" s="156" t="s">
        <v>374</v>
      </c>
    </row>
    <row r="18" spans="2:6" ht="39">
      <c r="B18" s="151" t="s">
        <v>375</v>
      </c>
      <c r="C18" s="153" t="s">
        <v>230</v>
      </c>
      <c r="D18" s="153" t="s">
        <v>230</v>
      </c>
      <c r="E18" s="153" t="s">
        <v>230</v>
      </c>
      <c r="F18" s="156" t="s">
        <v>376</v>
      </c>
    </row>
    <row r="19" spans="2:6" ht="50">
      <c r="B19" s="151" t="s">
        <v>377</v>
      </c>
      <c r="C19" s="153" t="s">
        <v>230</v>
      </c>
      <c r="D19" s="153" t="s">
        <v>230</v>
      </c>
      <c r="E19" s="153" t="s">
        <v>230</v>
      </c>
      <c r="F19" s="156" t="s">
        <v>378</v>
      </c>
    </row>
    <row r="20" spans="2:6" ht="39">
      <c r="B20" s="151" t="s">
        <v>379</v>
      </c>
      <c r="C20" s="153" t="s">
        <v>230</v>
      </c>
      <c r="D20" s="153" t="s">
        <v>230</v>
      </c>
      <c r="E20" s="153" t="s">
        <v>230</v>
      </c>
      <c r="F20" s="156" t="s">
        <v>380</v>
      </c>
    </row>
    <row r="21" spans="2:6">
      <c r="B21" s="448" t="s">
        <v>381</v>
      </c>
      <c r="C21" s="449"/>
      <c r="D21" s="449"/>
      <c r="E21" s="449"/>
      <c r="F21" s="450"/>
    </row>
    <row r="22" spans="2:6">
      <c r="B22" s="448" t="s">
        <v>382</v>
      </c>
      <c r="C22" s="449"/>
      <c r="D22" s="449"/>
      <c r="E22" s="449"/>
      <c r="F22" s="450"/>
    </row>
    <row r="23" spans="2:6">
      <c r="B23" s="448" t="s">
        <v>383</v>
      </c>
      <c r="C23" s="449"/>
      <c r="D23" s="449"/>
      <c r="E23" s="449"/>
      <c r="F23" s="450"/>
    </row>
    <row r="24" spans="2:6">
      <c r="B24" s="451" t="s">
        <v>384</v>
      </c>
      <c r="C24" s="452"/>
      <c r="D24" s="452"/>
      <c r="E24" s="452"/>
      <c r="F24" s="453"/>
    </row>
  </sheetData>
  <sheetProtection formatCells="0" formatColumns="0" formatRows="0" insertColumns="0" insertRows="0" insertHyperlinks="0" deleteColumns="0" deleteRows="0" sort="0" autoFilter="0" pivotTables="0"/>
  <mergeCells count="8">
    <mergeCell ref="B24:F24"/>
    <mergeCell ref="B6:B7"/>
    <mergeCell ref="B2:F3"/>
    <mergeCell ref="B5:F5"/>
    <mergeCell ref="C6:F6"/>
    <mergeCell ref="B21:F21"/>
    <mergeCell ref="B22:F22"/>
    <mergeCell ref="B23:F23"/>
  </mergeCells>
  <phoneticPr fontId="52" type="noConversion"/>
  <pageMargins left="0.7" right="0.7" top="0.75" bottom="0.75" header="0.3" footer="0.3"/>
  <headerFooter>
    <oddHeader>&amp;L&amp;"Calibri"&amp;10&amp;K000000 INTERNAL&amp;1#_x000D_</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C1:H144"/>
  <sheetViews>
    <sheetView showGridLines="0" zoomScale="130" zoomScaleNormal="130" zoomScalePageLayoutView="65" workbookViewId="0">
      <pane xSplit="4" ySplit="5" topLeftCell="E142" activePane="bottomRight" state="frozen"/>
      <selection pane="topRight"/>
      <selection pane="bottomLeft"/>
      <selection pane="bottomRight" activeCell="D144" sqref="D144"/>
    </sheetView>
  </sheetViews>
  <sheetFormatPr defaultColWidth="11.08203125" defaultRowHeight="12.5"/>
  <cols>
    <col min="1" max="2" width="3.1640625" style="50" customWidth="1"/>
    <col min="3" max="3" width="24.6640625" style="50" customWidth="1"/>
    <col min="4" max="4" width="47.1640625" style="50" customWidth="1"/>
    <col min="5" max="5" width="11.1640625" style="50" customWidth="1"/>
    <col min="6" max="6" width="15.08203125" style="50" customWidth="1"/>
    <col min="7" max="7" width="60.08203125" style="50" customWidth="1"/>
    <col min="8" max="8" width="6.4140625" style="50" customWidth="1"/>
    <col min="9" max="16384" width="11.08203125" style="50"/>
  </cols>
  <sheetData>
    <row r="1" spans="3:8">
      <c r="C1" s="510" t="s">
        <v>385</v>
      </c>
      <c r="D1" s="511"/>
      <c r="E1" s="511"/>
      <c r="F1" s="511"/>
      <c r="G1" s="512"/>
    </row>
    <row r="2" spans="3:8">
      <c r="C2" s="513"/>
      <c r="D2" s="514"/>
      <c r="E2" s="514"/>
      <c r="F2" s="514"/>
      <c r="G2" s="515"/>
    </row>
    <row r="3" spans="3:8" ht="21">
      <c r="C3" s="108" t="s">
        <v>386</v>
      </c>
      <c r="D3" s="109" t="s">
        <v>387</v>
      </c>
      <c r="E3" s="119" t="s">
        <v>388</v>
      </c>
      <c r="F3" s="119" t="s">
        <v>389</v>
      </c>
      <c r="G3" s="120" t="s">
        <v>169</v>
      </c>
    </row>
    <row r="4" spans="3:8">
      <c r="C4" s="110" t="s">
        <v>390</v>
      </c>
      <c r="D4" s="111" t="s">
        <v>391</v>
      </c>
      <c r="E4" s="111"/>
      <c r="F4" s="111"/>
      <c r="G4" s="121"/>
    </row>
    <row r="5" spans="3:8">
      <c r="C5" s="112" t="s">
        <v>392</v>
      </c>
      <c r="D5" s="80"/>
      <c r="E5" s="80"/>
      <c r="F5" s="80"/>
      <c r="G5" s="122"/>
    </row>
    <row r="6" spans="3:8">
      <c r="C6" s="113" t="s">
        <v>393</v>
      </c>
      <c r="D6" s="114" t="s">
        <v>394</v>
      </c>
      <c r="E6" s="123" t="s">
        <v>261</v>
      </c>
      <c r="F6" s="123" t="s">
        <v>262</v>
      </c>
      <c r="G6" s="124" t="s">
        <v>395</v>
      </c>
      <c r="H6" s="125"/>
    </row>
    <row r="7" spans="3:8">
      <c r="C7" s="113" t="s">
        <v>396</v>
      </c>
      <c r="D7" s="114" t="s">
        <v>397</v>
      </c>
      <c r="E7" s="126" t="s">
        <v>262</v>
      </c>
      <c r="F7" s="126" t="s">
        <v>263</v>
      </c>
      <c r="G7" s="127" t="s">
        <v>398</v>
      </c>
      <c r="H7" s="125"/>
    </row>
    <row r="8" spans="3:8">
      <c r="C8" s="113" t="s">
        <v>399</v>
      </c>
      <c r="D8" s="114" t="s">
        <v>400</v>
      </c>
      <c r="E8" s="123" t="s">
        <v>263</v>
      </c>
      <c r="F8" s="123" t="s">
        <v>263</v>
      </c>
      <c r="G8" s="124" t="s">
        <v>401</v>
      </c>
      <c r="H8" s="125"/>
    </row>
    <row r="9" spans="3:8">
      <c r="C9" s="113" t="s">
        <v>402</v>
      </c>
      <c r="D9" s="114" t="s">
        <v>403</v>
      </c>
      <c r="E9" s="123" t="s">
        <v>263</v>
      </c>
      <c r="F9" s="123" t="s">
        <v>263</v>
      </c>
      <c r="G9" s="124" t="s">
        <v>404</v>
      </c>
      <c r="H9" s="125"/>
    </row>
    <row r="10" spans="3:8">
      <c r="C10" s="113" t="s">
        <v>405</v>
      </c>
      <c r="D10" s="114" t="s">
        <v>406</v>
      </c>
      <c r="E10" s="123" t="s">
        <v>263</v>
      </c>
      <c r="F10" s="123" t="s">
        <v>263</v>
      </c>
      <c r="G10" s="124" t="s">
        <v>407</v>
      </c>
      <c r="H10" s="125"/>
    </row>
    <row r="11" spans="3:8">
      <c r="C11" s="113" t="s">
        <v>408</v>
      </c>
      <c r="D11" s="114" t="s">
        <v>409</v>
      </c>
      <c r="E11" s="123" t="s">
        <v>263</v>
      </c>
      <c r="F11" s="123" t="s">
        <v>262</v>
      </c>
      <c r="G11" s="124" t="s">
        <v>410</v>
      </c>
    </row>
    <row r="12" spans="3:8">
      <c r="C12" s="113" t="s">
        <v>411</v>
      </c>
      <c r="D12" s="114" t="s">
        <v>412</v>
      </c>
      <c r="E12" s="123" t="s">
        <v>261</v>
      </c>
      <c r="F12" s="123" t="s">
        <v>262</v>
      </c>
      <c r="G12" s="124"/>
    </row>
    <row r="13" spans="3:8">
      <c r="C13" s="113" t="s">
        <v>413</v>
      </c>
      <c r="D13" s="114" t="s">
        <v>414</v>
      </c>
      <c r="E13" s="123" t="s">
        <v>261</v>
      </c>
      <c r="F13" s="123" t="s">
        <v>262</v>
      </c>
      <c r="G13" s="128"/>
    </row>
    <row r="14" spans="3:8">
      <c r="C14" s="113" t="s">
        <v>415</v>
      </c>
      <c r="D14" s="84" t="s">
        <v>416</v>
      </c>
      <c r="E14" s="123" t="s">
        <v>261</v>
      </c>
      <c r="F14" s="123" t="s">
        <v>262</v>
      </c>
      <c r="G14" s="129"/>
    </row>
    <row r="15" spans="3:8">
      <c r="C15" s="113" t="s">
        <v>417</v>
      </c>
      <c r="D15" s="84" t="s">
        <v>418</v>
      </c>
      <c r="E15" s="343" t="s">
        <v>261</v>
      </c>
      <c r="F15" s="130" t="s">
        <v>261</v>
      </c>
      <c r="G15" s="128"/>
    </row>
    <row r="16" spans="3:8">
      <c r="C16" s="113" t="s">
        <v>419</v>
      </c>
      <c r="D16" s="84" t="s">
        <v>420</v>
      </c>
      <c r="E16" s="130" t="s">
        <v>261</v>
      </c>
      <c r="F16" s="130" t="s">
        <v>262</v>
      </c>
      <c r="G16" s="129"/>
    </row>
    <row r="17" spans="3:7">
      <c r="C17" s="113" t="s">
        <v>421</v>
      </c>
      <c r="D17" s="84" t="s">
        <v>422</v>
      </c>
      <c r="E17" s="130" t="s">
        <v>261</v>
      </c>
      <c r="F17" s="130" t="s">
        <v>262</v>
      </c>
      <c r="G17" s="131"/>
    </row>
    <row r="18" spans="3:7">
      <c r="C18" s="113" t="s">
        <v>423</v>
      </c>
      <c r="D18" s="84" t="s">
        <v>424</v>
      </c>
      <c r="E18" s="132" t="s">
        <v>261</v>
      </c>
      <c r="F18" s="132" t="s">
        <v>261</v>
      </c>
      <c r="G18" s="131"/>
    </row>
    <row r="19" spans="3:7">
      <c r="C19" s="113" t="s">
        <v>425</v>
      </c>
      <c r="D19" s="84" t="s">
        <v>426</v>
      </c>
      <c r="E19" s="132" t="s">
        <v>261</v>
      </c>
      <c r="F19" s="132" t="s">
        <v>262</v>
      </c>
      <c r="G19" s="131"/>
    </row>
    <row r="20" spans="3:7">
      <c r="C20" s="113" t="s">
        <v>427</v>
      </c>
      <c r="D20" s="84" t="s">
        <v>428</v>
      </c>
      <c r="E20" s="132" t="s">
        <v>261</v>
      </c>
      <c r="F20" s="132" t="s">
        <v>261</v>
      </c>
      <c r="G20" s="131"/>
    </row>
    <row r="21" spans="3:7">
      <c r="C21" s="113" t="s">
        <v>429</v>
      </c>
      <c r="D21" s="84" t="s">
        <v>430</v>
      </c>
      <c r="E21" s="130" t="s">
        <v>262</v>
      </c>
      <c r="F21" s="130" t="s">
        <v>263</v>
      </c>
      <c r="G21" s="129"/>
    </row>
    <row r="22" spans="3:7">
      <c r="C22" s="113" t="s">
        <v>431</v>
      </c>
      <c r="D22" s="84" t="s">
        <v>432</v>
      </c>
      <c r="E22" s="130" t="s">
        <v>262</v>
      </c>
      <c r="F22" s="130" t="s">
        <v>262</v>
      </c>
      <c r="G22" s="129"/>
    </row>
    <row r="23" spans="3:7">
      <c r="C23" s="113" t="s">
        <v>433</v>
      </c>
      <c r="D23" s="84" t="s">
        <v>434</v>
      </c>
      <c r="E23" s="130" t="s">
        <v>261</v>
      </c>
      <c r="F23" s="130" t="s">
        <v>181</v>
      </c>
      <c r="G23" s="129"/>
    </row>
    <row r="24" spans="3:7">
      <c r="C24" s="113" t="s">
        <v>435</v>
      </c>
      <c r="D24" s="115" t="s">
        <v>436</v>
      </c>
      <c r="E24" s="123" t="s">
        <v>181</v>
      </c>
      <c r="F24" s="123" t="s">
        <v>262</v>
      </c>
      <c r="G24" s="133"/>
    </row>
    <row r="25" spans="3:7">
      <c r="C25" s="113" t="s">
        <v>437</v>
      </c>
      <c r="D25" s="115" t="s">
        <v>438</v>
      </c>
      <c r="E25" s="123" t="s">
        <v>261</v>
      </c>
      <c r="F25" s="123" t="s">
        <v>262</v>
      </c>
      <c r="G25" s="133" t="s">
        <v>439</v>
      </c>
    </row>
    <row r="26" spans="3:7">
      <c r="C26" s="113" t="s">
        <v>440</v>
      </c>
      <c r="D26" s="115" t="s">
        <v>441</v>
      </c>
      <c r="E26" s="123" t="s">
        <v>261</v>
      </c>
      <c r="F26" s="123" t="s">
        <v>181</v>
      </c>
      <c r="G26" s="133"/>
    </row>
    <row r="27" spans="3:7">
      <c r="C27" s="116" t="s">
        <v>442</v>
      </c>
      <c r="D27" s="117" t="s">
        <v>443</v>
      </c>
      <c r="E27" s="134"/>
      <c r="F27" s="134"/>
      <c r="G27" s="135"/>
    </row>
    <row r="28" spans="3:7">
      <c r="C28" s="118" t="s">
        <v>444</v>
      </c>
      <c r="D28" s="80" t="s">
        <v>445</v>
      </c>
      <c r="E28" s="80"/>
      <c r="F28" s="80"/>
      <c r="G28" s="122"/>
    </row>
    <row r="29" spans="3:7">
      <c r="C29" s="113" t="s">
        <v>446</v>
      </c>
      <c r="D29" s="114" t="s">
        <v>447</v>
      </c>
      <c r="E29" s="123" t="s">
        <v>263</v>
      </c>
      <c r="F29" s="123" t="s">
        <v>263</v>
      </c>
      <c r="G29" s="124"/>
    </row>
    <row r="30" spans="3:7">
      <c r="C30" s="113" t="s">
        <v>448</v>
      </c>
      <c r="D30" s="114" t="s">
        <v>449</v>
      </c>
      <c r="E30" s="126" t="s">
        <v>262</v>
      </c>
      <c r="F30" s="126" t="s">
        <v>263</v>
      </c>
      <c r="G30" s="127"/>
    </row>
    <row r="31" spans="3:7">
      <c r="C31" s="113" t="s">
        <v>450</v>
      </c>
      <c r="D31" s="114" t="s">
        <v>451</v>
      </c>
      <c r="E31" s="123" t="s">
        <v>261</v>
      </c>
      <c r="F31" s="123" t="s">
        <v>262</v>
      </c>
      <c r="G31" s="124"/>
    </row>
    <row r="32" spans="3:7">
      <c r="C32" s="113" t="s">
        <v>452</v>
      </c>
      <c r="D32" s="114" t="s">
        <v>453</v>
      </c>
      <c r="E32" s="123" t="s">
        <v>261</v>
      </c>
      <c r="F32" s="123" t="s">
        <v>261</v>
      </c>
      <c r="G32" s="124"/>
    </row>
    <row r="33" spans="3:7">
      <c r="C33" s="113" t="s">
        <v>454</v>
      </c>
      <c r="D33" s="114" t="s">
        <v>455</v>
      </c>
      <c r="E33" s="123" t="s">
        <v>263</v>
      </c>
      <c r="F33" s="123" t="s">
        <v>263</v>
      </c>
      <c r="G33" s="124" t="s">
        <v>456</v>
      </c>
    </row>
    <row r="34" spans="3:7">
      <c r="C34" s="113" t="s">
        <v>457</v>
      </c>
      <c r="D34" s="114" t="s">
        <v>458</v>
      </c>
      <c r="E34" s="123" t="s">
        <v>262</v>
      </c>
      <c r="F34" s="123" t="s">
        <v>262</v>
      </c>
      <c r="G34" s="124" t="s">
        <v>459</v>
      </c>
    </row>
    <row r="35" spans="3:7">
      <c r="C35" s="113" t="s">
        <v>460</v>
      </c>
      <c r="D35" s="114" t="s">
        <v>461</v>
      </c>
      <c r="E35" s="123" t="s">
        <v>261</v>
      </c>
      <c r="F35" s="123" t="s">
        <v>261</v>
      </c>
      <c r="G35" s="124" t="s">
        <v>462</v>
      </c>
    </row>
    <row r="36" spans="3:7">
      <c r="C36" s="113" t="s">
        <v>463</v>
      </c>
      <c r="D36" s="114" t="s">
        <v>464</v>
      </c>
      <c r="E36" s="123" t="s">
        <v>181</v>
      </c>
      <c r="F36" s="123" t="s">
        <v>261</v>
      </c>
      <c r="G36" s="124"/>
    </row>
    <row r="37" spans="3:7">
      <c r="C37" s="113" t="s">
        <v>465</v>
      </c>
      <c r="D37" s="114" t="s">
        <v>466</v>
      </c>
      <c r="E37" s="123" t="s">
        <v>230</v>
      </c>
      <c r="F37" s="123" t="s">
        <v>262</v>
      </c>
      <c r="G37" s="129"/>
    </row>
    <row r="38" spans="3:7">
      <c r="C38" s="113" t="s">
        <v>467</v>
      </c>
      <c r="D38" s="84" t="s">
        <v>468</v>
      </c>
      <c r="E38" s="343" t="s">
        <v>262</v>
      </c>
      <c r="F38" s="130" t="s">
        <v>262</v>
      </c>
      <c r="G38" s="129" t="s">
        <v>469</v>
      </c>
    </row>
    <row r="39" spans="3:7">
      <c r="C39" s="113" t="s">
        <v>470</v>
      </c>
      <c r="D39" s="84" t="s">
        <v>471</v>
      </c>
      <c r="E39" s="130" t="s">
        <v>262</v>
      </c>
      <c r="F39" s="130" t="s">
        <v>262</v>
      </c>
      <c r="G39" s="129"/>
    </row>
    <row r="40" spans="3:7">
      <c r="C40" s="113" t="s">
        <v>472</v>
      </c>
      <c r="D40" s="84" t="s">
        <v>473</v>
      </c>
      <c r="E40" s="130" t="s">
        <v>261</v>
      </c>
      <c r="F40" s="130" t="s">
        <v>262</v>
      </c>
      <c r="G40" s="131"/>
    </row>
    <row r="41" spans="3:7">
      <c r="C41" s="116" t="s">
        <v>474</v>
      </c>
      <c r="D41" s="117" t="s">
        <v>475</v>
      </c>
      <c r="E41" s="134"/>
      <c r="F41" s="134"/>
      <c r="G41" s="135"/>
    </row>
    <row r="42" spans="3:7">
      <c r="C42" s="118" t="s">
        <v>476</v>
      </c>
      <c r="D42" s="80" t="s">
        <v>477</v>
      </c>
      <c r="E42" s="80"/>
      <c r="F42" s="80"/>
      <c r="G42" s="131" t="s">
        <v>478</v>
      </c>
    </row>
    <row r="43" spans="3:7">
      <c r="C43" s="113" t="s">
        <v>479</v>
      </c>
      <c r="D43" s="84" t="s">
        <v>480</v>
      </c>
      <c r="E43" s="130" t="s">
        <v>181</v>
      </c>
      <c r="F43" s="130" t="s">
        <v>181</v>
      </c>
      <c r="G43" s="131"/>
    </row>
    <row r="44" spans="3:7">
      <c r="C44" s="113" t="s">
        <v>481</v>
      </c>
      <c r="D44" s="84" t="s">
        <v>482</v>
      </c>
      <c r="E44" s="130" t="s">
        <v>261</v>
      </c>
      <c r="F44" s="130" t="s">
        <v>261</v>
      </c>
      <c r="G44" s="131"/>
    </row>
    <row r="45" spans="3:7">
      <c r="C45" s="113" t="s">
        <v>483</v>
      </c>
      <c r="D45" s="84" t="s">
        <v>484</v>
      </c>
      <c r="E45" s="130" t="s">
        <v>262</v>
      </c>
      <c r="F45" s="130" t="s">
        <v>262</v>
      </c>
      <c r="G45" s="131"/>
    </row>
    <row r="46" spans="3:7">
      <c r="C46" s="113" t="s">
        <v>485</v>
      </c>
      <c r="D46" s="84" t="s">
        <v>486</v>
      </c>
      <c r="E46" s="130" t="s">
        <v>262</v>
      </c>
      <c r="F46" s="130" t="s">
        <v>262</v>
      </c>
      <c r="G46" s="131"/>
    </row>
    <row r="47" spans="3:7">
      <c r="C47" s="113" t="s">
        <v>487</v>
      </c>
      <c r="D47" s="84" t="s">
        <v>488</v>
      </c>
      <c r="E47" s="130" t="s">
        <v>261</v>
      </c>
      <c r="F47" s="130" t="s">
        <v>261</v>
      </c>
      <c r="G47" s="131"/>
    </row>
    <row r="48" spans="3:7">
      <c r="C48" s="113" t="s">
        <v>489</v>
      </c>
      <c r="D48" s="84" t="s">
        <v>490</v>
      </c>
      <c r="E48" s="130" t="s">
        <v>181</v>
      </c>
      <c r="F48" s="130" t="s">
        <v>181</v>
      </c>
      <c r="G48" s="131"/>
    </row>
    <row r="49" spans="3:7">
      <c r="C49" s="113" t="s">
        <v>491</v>
      </c>
      <c r="D49" s="84" t="s">
        <v>492</v>
      </c>
      <c r="E49" s="130" t="s">
        <v>262</v>
      </c>
      <c r="F49" s="130" t="s">
        <v>261</v>
      </c>
      <c r="G49" s="131"/>
    </row>
    <row r="50" spans="3:7">
      <c r="C50" s="113" t="s">
        <v>493</v>
      </c>
      <c r="D50" s="84" t="s">
        <v>494</v>
      </c>
      <c r="E50" s="130" t="s">
        <v>263</v>
      </c>
      <c r="F50" s="130" t="s">
        <v>263</v>
      </c>
      <c r="G50" s="131"/>
    </row>
    <row r="51" spans="3:7">
      <c r="C51" s="113" t="s">
        <v>495</v>
      </c>
      <c r="D51" s="84" t="s">
        <v>496</v>
      </c>
      <c r="E51" s="130" t="s">
        <v>262</v>
      </c>
      <c r="F51" s="130" t="s">
        <v>262</v>
      </c>
      <c r="G51" s="131"/>
    </row>
    <row r="52" spans="3:7">
      <c r="C52" s="113" t="s">
        <v>497</v>
      </c>
      <c r="D52" s="84" t="s">
        <v>498</v>
      </c>
      <c r="E52" s="130" t="s">
        <v>261</v>
      </c>
      <c r="F52" s="130" t="s">
        <v>261</v>
      </c>
      <c r="G52" s="131"/>
    </row>
    <row r="53" spans="3:7">
      <c r="C53" s="113" t="s">
        <v>499</v>
      </c>
      <c r="D53" s="84" t="s">
        <v>500</v>
      </c>
      <c r="E53" s="130" t="s">
        <v>181</v>
      </c>
      <c r="F53" s="130" t="s">
        <v>261</v>
      </c>
      <c r="G53" s="131" t="s">
        <v>501</v>
      </c>
    </row>
    <row r="54" spans="3:7">
      <c r="C54" s="116" t="s">
        <v>502</v>
      </c>
      <c r="D54" s="117" t="s">
        <v>503</v>
      </c>
      <c r="E54" s="134"/>
      <c r="F54" s="134"/>
      <c r="G54" s="135"/>
    </row>
    <row r="55" spans="3:7">
      <c r="C55" s="118" t="s">
        <v>504</v>
      </c>
      <c r="D55" s="136" t="s">
        <v>505</v>
      </c>
      <c r="E55" s="80"/>
      <c r="F55" s="80"/>
      <c r="G55" s="122"/>
    </row>
    <row r="56" spans="3:7">
      <c r="C56" s="113" t="s">
        <v>506</v>
      </c>
      <c r="D56" s="114" t="s">
        <v>507</v>
      </c>
      <c r="E56" s="130" t="s">
        <v>263</v>
      </c>
      <c r="F56" s="130" t="s">
        <v>263</v>
      </c>
      <c r="G56" s="124" t="s">
        <v>508</v>
      </c>
    </row>
    <row r="57" spans="3:7">
      <c r="C57" s="113" t="s">
        <v>509</v>
      </c>
      <c r="D57" s="114" t="s">
        <v>510</v>
      </c>
      <c r="E57" s="130" t="s">
        <v>262</v>
      </c>
      <c r="F57" s="130" t="s">
        <v>262</v>
      </c>
      <c r="G57" s="127" t="s">
        <v>511</v>
      </c>
    </row>
    <row r="58" spans="3:7">
      <c r="C58" s="113" t="s">
        <v>512</v>
      </c>
      <c r="D58" s="114" t="s">
        <v>513</v>
      </c>
      <c r="E58" s="130" t="s">
        <v>261</v>
      </c>
      <c r="F58" s="130" t="s">
        <v>261</v>
      </c>
      <c r="G58" s="127" t="s">
        <v>511</v>
      </c>
    </row>
    <row r="59" spans="3:7">
      <c r="C59" s="113" t="s">
        <v>514</v>
      </c>
      <c r="D59" s="114" t="s">
        <v>515</v>
      </c>
      <c r="E59" s="130" t="s">
        <v>181</v>
      </c>
      <c r="F59" s="130" t="s">
        <v>181</v>
      </c>
      <c r="G59" s="127" t="s">
        <v>511</v>
      </c>
    </row>
    <row r="60" spans="3:7">
      <c r="C60" s="113" t="s">
        <v>516</v>
      </c>
      <c r="D60" s="114" t="s">
        <v>517</v>
      </c>
      <c r="E60" s="130" t="s">
        <v>262</v>
      </c>
      <c r="F60" s="130" t="s">
        <v>263</v>
      </c>
      <c r="G60" s="124" t="s">
        <v>518</v>
      </c>
    </row>
    <row r="61" spans="3:7">
      <c r="C61" s="113" t="s">
        <v>519</v>
      </c>
      <c r="D61" s="114" t="s">
        <v>520</v>
      </c>
      <c r="E61" s="130" t="s">
        <v>263</v>
      </c>
      <c r="F61" s="130" t="s">
        <v>230</v>
      </c>
      <c r="G61" s="124" t="s">
        <v>521</v>
      </c>
    </row>
    <row r="62" spans="3:7">
      <c r="C62" s="113" t="s">
        <v>522</v>
      </c>
      <c r="D62" s="114" t="s">
        <v>523</v>
      </c>
      <c r="E62" s="130" t="s">
        <v>262</v>
      </c>
      <c r="F62" s="130" t="s">
        <v>230</v>
      </c>
      <c r="G62" s="124" t="s">
        <v>521</v>
      </c>
    </row>
    <row r="63" spans="3:7">
      <c r="C63" s="113" t="s">
        <v>524</v>
      </c>
      <c r="D63" s="114" t="s">
        <v>525</v>
      </c>
      <c r="E63" s="130" t="s">
        <v>261</v>
      </c>
      <c r="F63" s="130" t="s">
        <v>230</v>
      </c>
      <c r="G63" s="124" t="s">
        <v>521</v>
      </c>
    </row>
    <row r="64" spans="3:7">
      <c r="C64" s="113" t="s">
        <v>526</v>
      </c>
      <c r="D64" s="114" t="s">
        <v>527</v>
      </c>
      <c r="E64" s="130" t="s">
        <v>181</v>
      </c>
      <c r="F64" s="130" t="s">
        <v>230</v>
      </c>
      <c r="G64" s="129" t="s">
        <v>528</v>
      </c>
    </row>
    <row r="65" spans="3:7">
      <c r="C65" s="113" t="s">
        <v>529</v>
      </c>
      <c r="D65" s="114" t="s">
        <v>530</v>
      </c>
      <c r="E65" s="130" t="s">
        <v>230</v>
      </c>
      <c r="F65" s="130" t="s">
        <v>263</v>
      </c>
      <c r="G65" s="129" t="s">
        <v>531</v>
      </c>
    </row>
    <row r="66" spans="3:7">
      <c r="C66" s="113" t="s">
        <v>532</v>
      </c>
      <c r="D66" s="114" t="s">
        <v>533</v>
      </c>
      <c r="E66" s="130" t="s">
        <v>230</v>
      </c>
      <c r="F66" s="130" t="s">
        <v>262</v>
      </c>
      <c r="G66" s="129" t="s">
        <v>534</v>
      </c>
    </row>
    <row r="67" spans="3:7">
      <c r="C67" s="113" t="s">
        <v>535</v>
      </c>
      <c r="D67" s="114" t="s">
        <v>536</v>
      </c>
      <c r="E67" s="130" t="s">
        <v>230</v>
      </c>
      <c r="F67" s="130" t="s">
        <v>261</v>
      </c>
      <c r="G67" s="131" t="s">
        <v>537</v>
      </c>
    </row>
    <row r="68" spans="3:7">
      <c r="C68" s="113" t="s">
        <v>538</v>
      </c>
      <c r="D68" s="114" t="s">
        <v>539</v>
      </c>
      <c r="E68" s="130" t="s">
        <v>230</v>
      </c>
      <c r="F68" s="130" t="s">
        <v>181</v>
      </c>
      <c r="G68" s="131" t="s">
        <v>540</v>
      </c>
    </row>
    <row r="69" spans="3:7">
      <c r="C69" s="113" t="s">
        <v>541</v>
      </c>
      <c r="D69" s="114" t="s">
        <v>542</v>
      </c>
      <c r="E69" s="130" t="s">
        <v>263</v>
      </c>
      <c r="F69" s="130" t="s">
        <v>230</v>
      </c>
      <c r="G69" s="131" t="s">
        <v>543</v>
      </c>
    </row>
    <row r="70" spans="3:7">
      <c r="C70" s="113" t="s">
        <v>544</v>
      </c>
      <c r="D70" s="114" t="s">
        <v>545</v>
      </c>
      <c r="E70" s="130" t="s">
        <v>262</v>
      </c>
      <c r="F70" s="130" t="s">
        <v>230</v>
      </c>
      <c r="G70" s="131" t="s">
        <v>546</v>
      </c>
    </row>
    <row r="71" spans="3:7">
      <c r="C71" s="113" t="s">
        <v>547</v>
      </c>
      <c r="D71" s="114" t="s">
        <v>548</v>
      </c>
      <c r="E71" s="130" t="s">
        <v>261</v>
      </c>
      <c r="F71" s="130" t="s">
        <v>230</v>
      </c>
      <c r="G71" s="131" t="s">
        <v>549</v>
      </c>
    </row>
    <row r="72" spans="3:7">
      <c r="C72" s="113" t="s">
        <v>550</v>
      </c>
      <c r="D72" s="114" t="s">
        <v>551</v>
      </c>
      <c r="E72" s="130" t="s">
        <v>181</v>
      </c>
      <c r="F72" s="130" t="s">
        <v>230</v>
      </c>
      <c r="G72" s="131" t="s">
        <v>230</v>
      </c>
    </row>
    <row r="73" spans="3:7">
      <c r="C73" s="113" t="s">
        <v>552</v>
      </c>
      <c r="D73" s="114" t="s">
        <v>553</v>
      </c>
      <c r="E73" s="130" t="s">
        <v>230</v>
      </c>
      <c r="F73" s="130" t="s">
        <v>263</v>
      </c>
      <c r="G73" s="131"/>
    </row>
    <row r="74" spans="3:7">
      <c r="C74" s="113" t="s">
        <v>554</v>
      </c>
      <c r="D74" s="114" t="s">
        <v>555</v>
      </c>
      <c r="E74" s="130" t="s">
        <v>230</v>
      </c>
      <c r="F74" s="130" t="s">
        <v>262</v>
      </c>
      <c r="G74" s="131"/>
    </row>
    <row r="75" spans="3:7">
      <c r="C75" s="113" t="s">
        <v>556</v>
      </c>
      <c r="D75" s="114" t="s">
        <v>557</v>
      </c>
      <c r="E75" s="130" t="s">
        <v>230</v>
      </c>
      <c r="F75" s="130" t="s">
        <v>261</v>
      </c>
      <c r="G75" s="131"/>
    </row>
    <row r="76" spans="3:7">
      <c r="C76" s="113" t="s">
        <v>558</v>
      </c>
      <c r="D76" s="114" t="s">
        <v>559</v>
      </c>
      <c r="E76" s="130" t="s">
        <v>230</v>
      </c>
      <c r="F76" s="130" t="s">
        <v>181</v>
      </c>
      <c r="G76" s="131" t="s">
        <v>560</v>
      </c>
    </row>
    <row r="77" spans="3:7">
      <c r="C77" s="113" t="s">
        <v>561</v>
      </c>
      <c r="D77" s="114" t="s">
        <v>562</v>
      </c>
      <c r="E77" s="130" t="s">
        <v>263</v>
      </c>
      <c r="F77" s="130" t="s">
        <v>230</v>
      </c>
      <c r="G77" s="131"/>
    </row>
    <row r="78" spans="3:7">
      <c r="C78" s="113" t="s">
        <v>563</v>
      </c>
      <c r="D78" s="114" t="s">
        <v>564</v>
      </c>
      <c r="E78" s="130" t="s">
        <v>262</v>
      </c>
      <c r="F78" s="130" t="s">
        <v>230</v>
      </c>
      <c r="G78" s="131"/>
    </row>
    <row r="79" spans="3:7">
      <c r="C79" s="113" t="s">
        <v>565</v>
      </c>
      <c r="D79" s="114" t="s">
        <v>566</v>
      </c>
      <c r="E79" s="130" t="s">
        <v>261</v>
      </c>
      <c r="F79" s="130" t="s">
        <v>230</v>
      </c>
      <c r="G79" s="131"/>
    </row>
    <row r="80" spans="3:7">
      <c r="C80" s="113" t="s">
        <v>567</v>
      </c>
      <c r="D80" s="114" t="s">
        <v>568</v>
      </c>
      <c r="E80" s="130" t="s">
        <v>181</v>
      </c>
      <c r="F80" s="130" t="s">
        <v>230</v>
      </c>
      <c r="G80" s="131"/>
    </row>
    <row r="81" spans="3:7">
      <c r="C81" s="113" t="s">
        <v>569</v>
      </c>
      <c r="D81" s="114" t="s">
        <v>570</v>
      </c>
      <c r="E81" s="130" t="s">
        <v>230</v>
      </c>
      <c r="F81" s="130" t="s">
        <v>263</v>
      </c>
      <c r="G81" s="131"/>
    </row>
    <row r="82" spans="3:7">
      <c r="C82" s="113" t="s">
        <v>571</v>
      </c>
      <c r="D82" s="114" t="s">
        <v>572</v>
      </c>
      <c r="E82" s="130" t="s">
        <v>230</v>
      </c>
      <c r="F82" s="130" t="s">
        <v>262</v>
      </c>
      <c r="G82" s="131"/>
    </row>
    <row r="83" spans="3:7">
      <c r="C83" s="113" t="s">
        <v>573</v>
      </c>
      <c r="D83" s="114" t="s">
        <v>574</v>
      </c>
      <c r="E83" s="130" t="s">
        <v>230</v>
      </c>
      <c r="F83" s="130" t="s">
        <v>261</v>
      </c>
      <c r="G83" s="131"/>
    </row>
    <row r="84" spans="3:7">
      <c r="C84" s="113" t="s">
        <v>575</v>
      </c>
      <c r="D84" s="114" t="s">
        <v>576</v>
      </c>
      <c r="E84" s="130" t="s">
        <v>230</v>
      </c>
      <c r="F84" s="130" t="s">
        <v>181</v>
      </c>
      <c r="G84" s="131"/>
    </row>
    <row r="85" spans="3:7" ht="20">
      <c r="C85" s="113" t="s">
        <v>577</v>
      </c>
      <c r="D85" s="114" t="s">
        <v>578</v>
      </c>
      <c r="E85" s="130" t="s">
        <v>262</v>
      </c>
      <c r="F85" s="130" t="s">
        <v>263</v>
      </c>
      <c r="G85" s="131" t="s">
        <v>579</v>
      </c>
    </row>
    <row r="86" spans="3:7">
      <c r="C86" s="113" t="s">
        <v>580</v>
      </c>
      <c r="D86" s="114" t="s">
        <v>581</v>
      </c>
      <c r="E86" s="130" t="s">
        <v>582</v>
      </c>
      <c r="F86" s="130" t="s">
        <v>261</v>
      </c>
      <c r="G86" s="131" t="s">
        <v>583</v>
      </c>
    </row>
    <row r="87" spans="3:7">
      <c r="C87" s="113" t="s">
        <v>584</v>
      </c>
      <c r="D87" s="114" t="s">
        <v>585</v>
      </c>
      <c r="E87" s="130" t="s">
        <v>261</v>
      </c>
      <c r="F87" s="130" t="s">
        <v>262</v>
      </c>
      <c r="G87" s="131" t="s">
        <v>586</v>
      </c>
    </row>
    <row r="88" spans="3:7">
      <c r="C88" s="113" t="s">
        <v>587</v>
      </c>
      <c r="D88" s="114" t="s">
        <v>588</v>
      </c>
      <c r="E88" s="130" t="s">
        <v>261</v>
      </c>
      <c r="F88" s="130" t="s">
        <v>263</v>
      </c>
      <c r="G88" s="131" t="s">
        <v>589</v>
      </c>
    </row>
    <row r="89" spans="3:7">
      <c r="C89" s="113" t="s">
        <v>590</v>
      </c>
      <c r="D89" s="114" t="s">
        <v>591</v>
      </c>
      <c r="E89" s="130" t="s">
        <v>181</v>
      </c>
      <c r="F89" s="130" t="s">
        <v>261</v>
      </c>
      <c r="G89" s="131" t="s">
        <v>592</v>
      </c>
    </row>
    <row r="90" spans="3:7">
      <c r="C90" s="113" t="s">
        <v>593</v>
      </c>
      <c r="D90" s="114" t="s">
        <v>594</v>
      </c>
      <c r="E90" s="130" t="s">
        <v>261</v>
      </c>
      <c r="F90" s="130" t="s">
        <v>263</v>
      </c>
      <c r="G90" s="131"/>
    </row>
    <row r="91" spans="3:7">
      <c r="C91" s="113" t="s">
        <v>595</v>
      </c>
      <c r="D91" s="114" t="s">
        <v>596</v>
      </c>
      <c r="E91" s="130" t="s">
        <v>181</v>
      </c>
      <c r="F91" s="130" t="s">
        <v>181</v>
      </c>
      <c r="G91" s="131" t="s">
        <v>597</v>
      </c>
    </row>
    <row r="92" spans="3:7" ht="20">
      <c r="C92" s="113" t="s">
        <v>598</v>
      </c>
      <c r="D92" s="114" t="s">
        <v>599</v>
      </c>
      <c r="E92" s="130" t="s">
        <v>261</v>
      </c>
      <c r="F92" s="130" t="s">
        <v>262</v>
      </c>
      <c r="G92" s="131" t="s">
        <v>600</v>
      </c>
    </row>
    <row r="93" spans="3:7">
      <c r="C93" s="113" t="s">
        <v>601</v>
      </c>
      <c r="D93" s="114" t="s">
        <v>602</v>
      </c>
      <c r="E93" s="130" t="s">
        <v>261</v>
      </c>
      <c r="F93" s="130" t="s">
        <v>263</v>
      </c>
      <c r="G93" s="131"/>
    </row>
    <row r="94" spans="3:7">
      <c r="C94" s="113" t="s">
        <v>603</v>
      </c>
      <c r="D94" s="114" t="s">
        <v>604</v>
      </c>
      <c r="E94" s="130" t="s">
        <v>262</v>
      </c>
      <c r="F94" s="130" t="s">
        <v>263</v>
      </c>
      <c r="G94" s="131"/>
    </row>
    <row r="95" spans="3:7">
      <c r="C95" s="113" t="s">
        <v>605</v>
      </c>
      <c r="D95" s="114" t="s">
        <v>606</v>
      </c>
      <c r="E95" s="130" t="s">
        <v>262</v>
      </c>
      <c r="F95" s="130" t="s">
        <v>263</v>
      </c>
      <c r="G95" s="131" t="s">
        <v>607</v>
      </c>
    </row>
    <row r="96" spans="3:7" ht="20">
      <c r="C96" s="113" t="s">
        <v>608</v>
      </c>
      <c r="D96" s="114" t="s">
        <v>609</v>
      </c>
      <c r="E96" s="130" t="s">
        <v>262</v>
      </c>
      <c r="F96" s="130" t="s">
        <v>263</v>
      </c>
      <c r="G96" s="131" t="s">
        <v>610</v>
      </c>
    </row>
    <row r="97" spans="3:7" ht="20">
      <c r="C97" s="113" t="s">
        <v>611</v>
      </c>
      <c r="D97" s="114" t="s">
        <v>612</v>
      </c>
      <c r="E97" s="130" t="s">
        <v>261</v>
      </c>
      <c r="F97" s="130" t="s">
        <v>262</v>
      </c>
      <c r="G97" s="131" t="s">
        <v>613</v>
      </c>
    </row>
    <row r="98" spans="3:7">
      <c r="C98" s="113" t="s">
        <v>614</v>
      </c>
      <c r="D98" s="114" t="s">
        <v>615</v>
      </c>
      <c r="E98" s="130" t="s">
        <v>181</v>
      </c>
      <c r="F98" s="130" t="s">
        <v>181</v>
      </c>
      <c r="G98" s="131" t="s">
        <v>616</v>
      </c>
    </row>
    <row r="99" spans="3:7">
      <c r="C99" s="116" t="s">
        <v>617</v>
      </c>
      <c r="D99" s="134"/>
      <c r="E99" s="134"/>
      <c r="F99" s="134"/>
      <c r="G99" s="135"/>
    </row>
    <row r="100" spans="3:7">
      <c r="C100" s="137" t="s">
        <v>618</v>
      </c>
      <c r="D100" s="80" t="s">
        <v>619</v>
      </c>
      <c r="E100" s="80"/>
      <c r="F100" s="80"/>
      <c r="G100" s="122"/>
    </row>
    <row r="101" spans="3:7">
      <c r="C101" s="113" t="s">
        <v>620</v>
      </c>
      <c r="D101" s="114" t="s">
        <v>621</v>
      </c>
      <c r="E101" s="130" t="s">
        <v>181</v>
      </c>
      <c r="F101" s="130" t="s">
        <v>261</v>
      </c>
      <c r="G101" s="131" t="s">
        <v>622</v>
      </c>
    </row>
    <row r="102" spans="3:7">
      <c r="C102" s="113" t="s">
        <v>623</v>
      </c>
      <c r="D102" s="114" t="s">
        <v>624</v>
      </c>
      <c r="E102" s="130" t="s">
        <v>262</v>
      </c>
      <c r="F102" s="130" t="s">
        <v>263</v>
      </c>
      <c r="G102" s="131" t="s">
        <v>625</v>
      </c>
    </row>
    <row r="103" spans="3:7">
      <c r="C103" s="113" t="s">
        <v>626</v>
      </c>
      <c r="D103" s="114" t="s">
        <v>627</v>
      </c>
      <c r="E103" s="130" t="s">
        <v>263</v>
      </c>
      <c r="F103" s="130" t="s">
        <v>263</v>
      </c>
      <c r="G103" s="131" t="s">
        <v>625</v>
      </c>
    </row>
    <row r="104" spans="3:7">
      <c r="C104" s="113" t="s">
        <v>628</v>
      </c>
      <c r="D104" s="114" t="s">
        <v>629</v>
      </c>
      <c r="E104" s="130" t="s">
        <v>262</v>
      </c>
      <c r="F104" s="130" t="s">
        <v>262</v>
      </c>
      <c r="G104" s="131" t="s">
        <v>625</v>
      </c>
    </row>
    <row r="105" spans="3:7">
      <c r="C105" s="113" t="s">
        <v>630</v>
      </c>
      <c r="D105" s="114" t="s">
        <v>631</v>
      </c>
      <c r="E105" s="130" t="s">
        <v>262</v>
      </c>
      <c r="F105" s="130" t="s">
        <v>263</v>
      </c>
      <c r="G105" s="507" t="s">
        <v>632</v>
      </c>
    </row>
    <row r="106" spans="3:7">
      <c r="C106" s="113" t="s">
        <v>633</v>
      </c>
      <c r="D106" s="114" t="s">
        <v>634</v>
      </c>
      <c r="E106" s="130" t="s">
        <v>261</v>
      </c>
      <c r="F106" s="130" t="s">
        <v>262</v>
      </c>
      <c r="G106" s="508"/>
    </row>
    <row r="107" spans="3:7">
      <c r="C107" s="113" t="s">
        <v>635</v>
      </c>
      <c r="D107" s="114" t="s">
        <v>636</v>
      </c>
      <c r="E107" s="130" t="s">
        <v>262</v>
      </c>
      <c r="F107" s="130" t="s">
        <v>263</v>
      </c>
      <c r="G107" s="509"/>
    </row>
    <row r="108" spans="3:7">
      <c r="C108" s="113" t="s">
        <v>637</v>
      </c>
      <c r="D108" s="114" t="s">
        <v>638</v>
      </c>
      <c r="E108" s="130" t="s">
        <v>262</v>
      </c>
      <c r="F108" s="130" t="s">
        <v>262</v>
      </c>
      <c r="G108" s="131"/>
    </row>
    <row r="109" spans="3:7">
      <c r="C109" s="113" t="s">
        <v>639</v>
      </c>
      <c r="D109" s="114" t="s">
        <v>640</v>
      </c>
      <c r="E109" s="130" t="s">
        <v>263</v>
      </c>
      <c r="F109" s="130" t="s">
        <v>263</v>
      </c>
      <c r="G109" s="131"/>
    </row>
    <row r="110" spans="3:7">
      <c r="C110" s="113" t="s">
        <v>641</v>
      </c>
      <c r="D110" s="114" t="s">
        <v>642</v>
      </c>
      <c r="E110" s="130" t="s">
        <v>261</v>
      </c>
      <c r="F110" s="130" t="s">
        <v>261</v>
      </c>
      <c r="G110" s="131" t="s">
        <v>625</v>
      </c>
    </row>
    <row r="111" spans="3:7">
      <c r="C111" s="113" t="s">
        <v>643</v>
      </c>
      <c r="D111" s="114" t="s">
        <v>644</v>
      </c>
      <c r="E111" s="130" t="s">
        <v>181</v>
      </c>
      <c r="F111" s="130" t="s">
        <v>181</v>
      </c>
      <c r="G111" s="131" t="s">
        <v>625</v>
      </c>
    </row>
    <row r="112" spans="3:7">
      <c r="C112" s="113" t="s">
        <v>645</v>
      </c>
      <c r="D112" s="114" t="s">
        <v>646</v>
      </c>
      <c r="E112" s="130" t="s">
        <v>262</v>
      </c>
      <c r="F112" s="130" t="s">
        <v>262</v>
      </c>
      <c r="G112" s="131" t="s">
        <v>647</v>
      </c>
    </row>
    <row r="113" spans="3:7">
      <c r="C113" s="113" t="s">
        <v>648</v>
      </c>
      <c r="D113" s="114" t="s">
        <v>649</v>
      </c>
      <c r="E113" s="130" t="s">
        <v>261</v>
      </c>
      <c r="F113" s="130" t="s">
        <v>261</v>
      </c>
      <c r="G113" s="131" t="s">
        <v>647</v>
      </c>
    </row>
    <row r="114" spans="3:7">
      <c r="C114" s="113" t="s">
        <v>650</v>
      </c>
      <c r="D114" s="114" t="s">
        <v>651</v>
      </c>
      <c r="E114" s="130" t="s">
        <v>181</v>
      </c>
      <c r="F114" s="130" t="s">
        <v>181</v>
      </c>
      <c r="G114" s="131" t="s">
        <v>647</v>
      </c>
    </row>
    <row r="115" spans="3:7">
      <c r="C115" s="113" t="s">
        <v>652</v>
      </c>
      <c r="D115" s="114" t="s">
        <v>653</v>
      </c>
      <c r="E115" s="130" t="s">
        <v>263</v>
      </c>
      <c r="F115" s="130" t="s">
        <v>263</v>
      </c>
      <c r="G115" s="131"/>
    </row>
    <row r="116" spans="3:7" ht="23.4" customHeight="1">
      <c r="C116" s="113" t="s">
        <v>654</v>
      </c>
      <c r="D116" s="114" t="s">
        <v>655</v>
      </c>
      <c r="E116" s="130" t="s">
        <v>261</v>
      </c>
      <c r="F116" s="130" t="s">
        <v>262</v>
      </c>
      <c r="G116" s="131"/>
    </row>
    <row r="117" spans="3:7" ht="24" customHeight="1">
      <c r="C117" s="113" t="s">
        <v>656</v>
      </c>
      <c r="D117" s="114" t="s">
        <v>657</v>
      </c>
      <c r="E117" s="130" t="s">
        <v>262</v>
      </c>
      <c r="F117" s="130" t="s">
        <v>263</v>
      </c>
      <c r="G117" s="131" t="s">
        <v>658</v>
      </c>
    </row>
    <row r="118" spans="3:7">
      <c r="C118" s="116" t="s">
        <v>659</v>
      </c>
      <c r="D118" s="117" t="s">
        <v>660</v>
      </c>
      <c r="E118" s="134"/>
      <c r="F118" s="134"/>
      <c r="G118" s="135"/>
    </row>
    <row r="119" spans="3:7">
      <c r="C119" s="137" t="s">
        <v>661</v>
      </c>
      <c r="D119" s="80"/>
      <c r="E119" s="80"/>
      <c r="F119" s="80"/>
      <c r="G119" s="122"/>
    </row>
    <row r="120" spans="3:7">
      <c r="C120" s="113" t="s">
        <v>662</v>
      </c>
      <c r="D120" s="114" t="s">
        <v>663</v>
      </c>
      <c r="E120" s="130" t="s">
        <v>261</v>
      </c>
      <c r="F120" s="130" t="s">
        <v>263</v>
      </c>
      <c r="G120" s="131" t="s">
        <v>664</v>
      </c>
    </row>
    <row r="121" spans="3:7">
      <c r="C121" s="113" t="s">
        <v>665</v>
      </c>
      <c r="D121" s="114" t="s">
        <v>666</v>
      </c>
      <c r="E121" s="130" t="s">
        <v>261</v>
      </c>
      <c r="F121" s="130" t="s">
        <v>263</v>
      </c>
      <c r="G121" s="131" t="s">
        <v>667</v>
      </c>
    </row>
    <row r="122" spans="3:7">
      <c r="C122" s="138" t="s">
        <v>668</v>
      </c>
      <c r="D122" s="139"/>
      <c r="E122" s="134"/>
      <c r="F122" s="134"/>
      <c r="G122" s="135"/>
    </row>
    <row r="123" spans="3:7">
      <c r="C123" s="137" t="s">
        <v>669</v>
      </c>
      <c r="D123" s="80" t="s">
        <v>670</v>
      </c>
      <c r="E123" s="140"/>
      <c r="F123" s="140"/>
      <c r="G123" s="141"/>
    </row>
    <row r="124" spans="3:7">
      <c r="C124" s="113" t="s">
        <v>671</v>
      </c>
      <c r="D124" s="114" t="s">
        <v>672</v>
      </c>
      <c r="E124" s="126" t="s">
        <v>181</v>
      </c>
      <c r="F124" s="126" t="s">
        <v>181</v>
      </c>
      <c r="G124" s="127"/>
    </row>
    <row r="125" spans="3:7" ht="20">
      <c r="C125" s="113" t="s">
        <v>673</v>
      </c>
      <c r="D125" s="114" t="s">
        <v>674</v>
      </c>
      <c r="E125" s="126" t="s">
        <v>262</v>
      </c>
      <c r="F125" s="126" t="s">
        <v>263</v>
      </c>
      <c r="G125" s="127" t="s">
        <v>675</v>
      </c>
    </row>
    <row r="126" spans="3:7">
      <c r="C126" s="113" t="s">
        <v>676</v>
      </c>
      <c r="D126" s="114" t="s">
        <v>677</v>
      </c>
      <c r="E126" s="126" t="s">
        <v>181</v>
      </c>
      <c r="F126" s="126" t="s">
        <v>181</v>
      </c>
      <c r="G126" s="127" t="s">
        <v>678</v>
      </c>
    </row>
    <row r="127" spans="3:7" ht="20">
      <c r="C127" s="113" t="s">
        <v>679</v>
      </c>
      <c r="D127" s="114" t="s">
        <v>680</v>
      </c>
      <c r="E127" s="126" t="s">
        <v>261</v>
      </c>
      <c r="F127" s="126" t="s">
        <v>262</v>
      </c>
      <c r="G127" s="127" t="s">
        <v>681</v>
      </c>
    </row>
    <row r="128" spans="3:7">
      <c r="C128" s="113" t="s">
        <v>682</v>
      </c>
      <c r="D128" s="114" t="s">
        <v>683</v>
      </c>
      <c r="E128" s="126" t="s">
        <v>262</v>
      </c>
      <c r="F128" s="126" t="s">
        <v>263</v>
      </c>
      <c r="G128" s="127" t="s">
        <v>684</v>
      </c>
    </row>
    <row r="129" spans="3:7">
      <c r="C129" s="113" t="s">
        <v>685</v>
      </c>
      <c r="D129" s="114" t="s">
        <v>686</v>
      </c>
      <c r="E129" s="126" t="s">
        <v>261</v>
      </c>
      <c r="F129" s="126" t="s">
        <v>261</v>
      </c>
      <c r="G129" s="127" t="s">
        <v>687</v>
      </c>
    </row>
    <row r="130" spans="3:7">
      <c r="C130" s="113" t="s">
        <v>688</v>
      </c>
      <c r="D130" s="114" t="s">
        <v>689</v>
      </c>
      <c r="E130" s="126" t="s">
        <v>261</v>
      </c>
      <c r="F130" s="126" t="s">
        <v>262</v>
      </c>
      <c r="G130" s="127" t="s">
        <v>690</v>
      </c>
    </row>
    <row r="131" spans="3:7">
      <c r="C131" s="113" t="s">
        <v>691</v>
      </c>
      <c r="D131" s="114" t="s">
        <v>692</v>
      </c>
      <c r="E131" s="126" t="s">
        <v>262</v>
      </c>
      <c r="F131" s="126" t="s">
        <v>262</v>
      </c>
      <c r="G131" s="127"/>
    </row>
    <row r="132" spans="3:7">
      <c r="C132" s="113" t="s">
        <v>693</v>
      </c>
      <c r="D132" s="114" t="s">
        <v>694</v>
      </c>
      <c r="E132" s="126" t="s">
        <v>262</v>
      </c>
      <c r="F132" s="126" t="s">
        <v>262</v>
      </c>
      <c r="G132" s="127"/>
    </row>
    <row r="133" spans="3:7">
      <c r="C133" s="113" t="s">
        <v>695</v>
      </c>
      <c r="D133" s="114" t="s">
        <v>696</v>
      </c>
      <c r="E133" s="126" t="s">
        <v>181</v>
      </c>
      <c r="F133" s="126" t="s">
        <v>262</v>
      </c>
      <c r="G133" s="127" t="s">
        <v>697</v>
      </c>
    </row>
    <row r="134" spans="3:7">
      <c r="C134" s="113" t="s">
        <v>698</v>
      </c>
      <c r="D134" s="114" t="s">
        <v>699</v>
      </c>
      <c r="E134" s="126" t="s">
        <v>262</v>
      </c>
      <c r="F134" s="126" t="s">
        <v>263</v>
      </c>
      <c r="G134" s="127" t="s">
        <v>700</v>
      </c>
    </row>
    <row r="135" spans="3:7">
      <c r="C135" s="113" t="s">
        <v>701</v>
      </c>
      <c r="D135" s="114" t="s">
        <v>702</v>
      </c>
      <c r="E135" s="126" t="s">
        <v>181</v>
      </c>
      <c r="F135" s="126" t="s">
        <v>261</v>
      </c>
      <c r="G135" s="127" t="s">
        <v>703</v>
      </c>
    </row>
    <row r="136" spans="3:7" ht="20">
      <c r="C136" s="113" t="s">
        <v>704</v>
      </c>
      <c r="D136" s="114" t="s">
        <v>705</v>
      </c>
      <c r="E136" s="126" t="s">
        <v>181</v>
      </c>
      <c r="F136" s="126" t="s">
        <v>181</v>
      </c>
      <c r="G136" s="127" t="s">
        <v>706</v>
      </c>
    </row>
    <row r="137" spans="3:7">
      <c r="C137" s="113" t="s">
        <v>707</v>
      </c>
      <c r="D137" s="114" t="s">
        <v>708</v>
      </c>
      <c r="E137" s="126" t="s">
        <v>261</v>
      </c>
      <c r="F137" s="126" t="s">
        <v>261</v>
      </c>
      <c r="G137" s="127" t="s">
        <v>709</v>
      </c>
    </row>
    <row r="138" spans="3:7">
      <c r="C138" s="113" t="s">
        <v>710</v>
      </c>
      <c r="D138" s="114" t="s">
        <v>711</v>
      </c>
      <c r="E138" s="126" t="s">
        <v>263</v>
      </c>
      <c r="F138" s="126" t="s">
        <v>263</v>
      </c>
      <c r="G138" s="127" t="s">
        <v>712</v>
      </c>
    </row>
    <row r="139" spans="3:7">
      <c r="C139" s="113" t="s">
        <v>713</v>
      </c>
      <c r="D139" s="114" t="s">
        <v>714</v>
      </c>
      <c r="E139" s="126" t="s">
        <v>263</v>
      </c>
      <c r="F139" s="126" t="s">
        <v>263</v>
      </c>
      <c r="G139" s="127" t="s">
        <v>715</v>
      </c>
    </row>
    <row r="140" spans="3:7">
      <c r="C140" s="113" t="s">
        <v>716</v>
      </c>
      <c r="D140" s="114" t="s">
        <v>717</v>
      </c>
      <c r="E140" s="126" t="s">
        <v>263</v>
      </c>
      <c r="F140" s="126" t="s">
        <v>263</v>
      </c>
      <c r="G140" s="127" t="s">
        <v>718</v>
      </c>
    </row>
    <row r="141" spans="3:7">
      <c r="C141" s="113" t="s">
        <v>719</v>
      </c>
      <c r="D141" s="114" t="s">
        <v>720</v>
      </c>
      <c r="E141" s="126" t="s">
        <v>262</v>
      </c>
      <c r="F141" s="126" t="s">
        <v>263</v>
      </c>
      <c r="G141" s="127" t="s">
        <v>721</v>
      </c>
    </row>
    <row r="142" spans="3:7">
      <c r="C142" s="113" t="s">
        <v>722</v>
      </c>
      <c r="D142" s="114" t="s">
        <v>723</v>
      </c>
      <c r="E142" s="126" t="s">
        <v>263</v>
      </c>
      <c r="F142" s="126" t="s">
        <v>263</v>
      </c>
      <c r="G142" s="127"/>
    </row>
    <row r="143" spans="3:7" ht="20">
      <c r="C143" s="113" t="s">
        <v>724</v>
      </c>
      <c r="D143" s="114" t="s">
        <v>725</v>
      </c>
      <c r="E143" s="126" t="s">
        <v>261</v>
      </c>
      <c r="F143" s="126" t="s">
        <v>263</v>
      </c>
      <c r="G143" s="127" t="s">
        <v>726</v>
      </c>
    </row>
    <row r="144" spans="3:7" ht="20">
      <c r="C144" s="142" t="s">
        <v>727</v>
      </c>
      <c r="D144" s="143" t="s">
        <v>728</v>
      </c>
      <c r="E144" s="144" t="s">
        <v>261</v>
      </c>
      <c r="F144" s="144" t="s">
        <v>263</v>
      </c>
      <c r="G144" s="145" t="s">
        <v>729</v>
      </c>
    </row>
  </sheetData>
  <sheetProtection formatCells="0" formatColumns="0" formatRows="0" insertColumns="0" insertRows="0" insertHyperlinks="0" deleteColumns="0" deleteRows="0" sort="0" autoFilter="0" pivotTables="0"/>
  <mergeCells count="2">
    <mergeCell ref="G105:G107"/>
    <mergeCell ref="C1:G2"/>
  </mergeCells>
  <phoneticPr fontId="52" type="noConversion"/>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B1:J129"/>
  <sheetViews>
    <sheetView showGridLines="0" zoomScale="110" zoomScaleNormal="110" zoomScalePageLayoutView="65" workbookViewId="0">
      <selection activeCell="I30" sqref="I30"/>
    </sheetView>
  </sheetViews>
  <sheetFormatPr defaultColWidth="11.4140625" defaultRowHeight="12.5"/>
  <cols>
    <col min="1" max="1" width="3.25" style="50" customWidth="1"/>
    <col min="2" max="2" width="60.4140625" style="50" customWidth="1"/>
    <col min="3" max="3" width="16.4140625" style="50" customWidth="1"/>
    <col min="4" max="4" width="15.4140625" style="50" customWidth="1"/>
    <col min="5" max="5" width="13.75" style="50" customWidth="1"/>
    <col min="6" max="6" width="45.4140625" style="50" customWidth="1"/>
    <col min="7" max="7" width="6.75" style="50" customWidth="1"/>
    <col min="8" max="8" width="12.75" style="50" customWidth="1"/>
    <col min="9" max="9" width="35.75" style="50" customWidth="1"/>
    <col min="10" max="10" width="5.25" style="50" customWidth="1"/>
    <col min="11" max="11" width="50.25" style="50" customWidth="1"/>
    <col min="12" max="12" width="12.4140625" style="50" customWidth="1"/>
    <col min="13" max="13" width="14.75" style="50" customWidth="1"/>
    <col min="14" max="14" width="12.75" style="50" customWidth="1"/>
    <col min="15" max="15" width="67.75" style="50" customWidth="1"/>
    <col min="16" max="16" width="5.75" style="50" customWidth="1"/>
    <col min="17" max="17" width="6.25" style="50" customWidth="1"/>
    <col min="18" max="18" width="11.4140625" style="50"/>
    <col min="19" max="19" width="48.4140625" style="50" customWidth="1"/>
    <col min="20" max="20" width="15" style="50" customWidth="1"/>
    <col min="21" max="21" width="11.4140625" style="50" customWidth="1"/>
    <col min="22" max="16384" width="11.4140625" style="50"/>
  </cols>
  <sheetData>
    <row r="1" spans="2:10" ht="14">
      <c r="B1" s="516"/>
      <c r="C1" s="517"/>
      <c r="D1" s="517"/>
      <c r="E1" s="517"/>
      <c r="F1" s="517"/>
    </row>
    <row r="2" spans="2:10" ht="18">
      <c r="B2" s="518" t="s">
        <v>730</v>
      </c>
      <c r="C2" s="519"/>
      <c r="D2" s="519"/>
      <c r="E2" s="519"/>
      <c r="F2" s="519"/>
    </row>
    <row r="3" spans="2:10" ht="14">
      <c r="B3" s="516"/>
      <c r="C3" s="517"/>
      <c r="D3" s="517"/>
      <c r="E3" s="517"/>
      <c r="F3" s="517"/>
    </row>
    <row r="4" spans="2:10" ht="12.75" customHeight="1">
      <c r="J4" s="97"/>
    </row>
    <row r="5" spans="2:10" ht="24" customHeight="1">
      <c r="B5" s="77" t="s">
        <v>731</v>
      </c>
      <c r="C5" s="78" t="s">
        <v>732</v>
      </c>
      <c r="D5" s="78" t="s">
        <v>733</v>
      </c>
      <c r="E5" s="77" t="s">
        <v>734</v>
      </c>
      <c r="F5" s="90" t="s">
        <v>735</v>
      </c>
      <c r="J5" s="97"/>
    </row>
    <row r="6" spans="2:10">
      <c r="B6" s="79" t="s">
        <v>736</v>
      </c>
      <c r="C6" s="80"/>
      <c r="D6" s="80"/>
      <c r="E6" s="80"/>
      <c r="F6" s="91"/>
    </row>
    <row r="7" spans="2:10">
      <c r="B7" s="81" t="s">
        <v>737</v>
      </c>
      <c r="C7" s="80"/>
      <c r="D7" s="80"/>
      <c r="E7" s="80"/>
      <c r="F7" s="91"/>
    </row>
    <row r="8" spans="2:10">
      <c r="B8" s="82" t="s">
        <v>738</v>
      </c>
      <c r="C8" s="83" t="s">
        <v>263</v>
      </c>
      <c r="D8" s="83" t="s">
        <v>262</v>
      </c>
      <c r="E8" s="83" t="s">
        <v>739</v>
      </c>
      <c r="F8" s="92" t="str">
        <f>CONCATENATE(B8," [Z: ",C8,"/F:",D8," ]")</f>
        <v>Autobahn [Z: E4/F:E3 ]</v>
      </c>
    </row>
    <row r="9" spans="2:10">
      <c r="B9" s="82" t="s">
        <v>740</v>
      </c>
      <c r="C9" s="82" t="s">
        <v>263</v>
      </c>
      <c r="D9" s="82" t="s">
        <v>263</v>
      </c>
      <c r="E9" s="82" t="s">
        <v>741</v>
      </c>
      <c r="F9" s="82" t="str">
        <f t="shared" ref="F9:F10" si="0">CONCATENATE(B9," [Z: ",C9,"/F:",D9," ]")</f>
        <v>Autobahn/Landstrasse [Z: E4/F:E4 ]</v>
      </c>
    </row>
    <row r="10" spans="2:10">
      <c r="B10" s="82" t="s">
        <v>742</v>
      </c>
      <c r="C10" s="83" t="s">
        <v>261</v>
      </c>
      <c r="D10" s="83" t="s">
        <v>262</v>
      </c>
      <c r="E10" s="83" t="s">
        <v>743</v>
      </c>
      <c r="F10" s="92" t="str">
        <f t="shared" si="0"/>
        <v>Autobahnauffahrt/-abfahrt [Z: E2/F:E3 ]</v>
      </c>
    </row>
    <row r="11" spans="2:10">
      <c r="B11" s="82" t="s">
        <v>744</v>
      </c>
      <c r="C11" s="83" t="s">
        <v>263</v>
      </c>
      <c r="D11" s="83" t="s">
        <v>263</v>
      </c>
      <c r="E11" s="83" t="s">
        <v>745</v>
      </c>
      <c r="F11" s="92" t="str">
        <f t="shared" ref="F11:F18" si="1">CONCATENATE(B11," [Z: ",C11,"/F:",D11," ]")</f>
        <v>Landstrasse/Schnellstrasse [Z: E4/F:E4 ]</v>
      </c>
    </row>
    <row r="12" spans="2:10">
      <c r="B12" s="82" t="s">
        <v>746</v>
      </c>
      <c r="C12" s="83" t="s">
        <v>263</v>
      </c>
      <c r="D12" s="83" t="s">
        <v>263</v>
      </c>
      <c r="E12" s="83" t="s">
        <v>747</v>
      </c>
      <c r="F12" s="92" t="str">
        <f t="shared" si="1"/>
        <v>Stadtverkehr [Z: E4/F:E4 ]</v>
      </c>
    </row>
    <row r="13" spans="2:10">
      <c r="B13" s="82" t="s">
        <v>748</v>
      </c>
      <c r="C13" s="83" t="s">
        <v>261</v>
      </c>
      <c r="D13" s="83" t="s">
        <v>261</v>
      </c>
      <c r="E13" s="83" t="s">
        <v>749</v>
      </c>
      <c r="F13" s="92" t="str">
        <f t="shared" si="1"/>
        <v>Passstrasse [Z: E2/F:E2 ]</v>
      </c>
    </row>
    <row r="14" spans="2:10">
      <c r="B14" s="82" t="s">
        <v>750</v>
      </c>
      <c r="C14" s="83" t="s">
        <v>261</v>
      </c>
      <c r="D14" s="83" t="s">
        <v>262</v>
      </c>
      <c r="E14" s="83" t="s">
        <v>751</v>
      </c>
      <c r="F14" s="92" t="str">
        <f t="shared" si="1"/>
        <v>Verkehrsberuhigter Bereich [Z: E2/F:E3 ]</v>
      </c>
    </row>
    <row r="15" spans="2:10">
      <c r="B15" s="82" t="s">
        <v>752</v>
      </c>
      <c r="C15" s="83" t="s">
        <v>262</v>
      </c>
      <c r="D15" s="83" t="s">
        <v>263</v>
      </c>
      <c r="E15" s="83" t="s">
        <v>753</v>
      </c>
      <c r="F15" s="92" t="str">
        <f t="shared" si="1"/>
        <v>Tempo-30-Zone [Z: E3/F:E4 ]</v>
      </c>
    </row>
    <row r="16" spans="2:10">
      <c r="B16" s="84" t="s">
        <v>754</v>
      </c>
      <c r="C16" s="85" t="s">
        <v>262</v>
      </c>
      <c r="D16" s="344" t="s">
        <v>755</v>
      </c>
      <c r="E16" s="83" t="s">
        <v>756</v>
      </c>
      <c r="F16" s="93" t="str">
        <f t="shared" si="1"/>
        <v>Baustellenbereich (Autobahn) mit baulicher Trennung [Z: E3/F:-- ]</v>
      </c>
    </row>
    <row r="17" spans="2:6">
      <c r="B17" s="84" t="s">
        <v>757</v>
      </c>
      <c r="C17" s="85" t="s">
        <v>261</v>
      </c>
      <c r="D17" s="344" t="s">
        <v>755</v>
      </c>
      <c r="E17" s="85" t="s">
        <v>758</v>
      </c>
      <c r="F17" s="93" t="str">
        <f t="shared" si="1"/>
        <v>Baustellenbereich (Autobahn) ohne bauliche Trennung [Z: E2/F:-- ]</v>
      </c>
    </row>
    <row r="18" spans="2:6">
      <c r="B18" s="84" t="s">
        <v>426</v>
      </c>
      <c r="C18" s="85" t="s">
        <v>261</v>
      </c>
      <c r="D18" s="85" t="s">
        <v>262</v>
      </c>
      <c r="E18" s="85" t="s">
        <v>759</v>
      </c>
      <c r="F18" s="93" t="str">
        <f t="shared" si="1"/>
        <v>Tunnel [Z: E2/F:E3 ]</v>
      </c>
    </row>
    <row r="19" spans="2:6">
      <c r="B19" s="84" t="s">
        <v>760</v>
      </c>
      <c r="C19" s="84" t="s">
        <v>181</v>
      </c>
      <c r="D19" s="84" t="s">
        <v>262</v>
      </c>
      <c r="E19" s="84" t="s">
        <v>761</v>
      </c>
      <c r="F19" s="84" t="str">
        <f t="shared" ref="F19:F22" si="2">CONCATENATE(B19," [Z: ",C19,"/F:",D19," ]")</f>
        <v>Bahnübergang [Z: E1/F:E3 ]</v>
      </c>
    </row>
    <row r="20" spans="2:6">
      <c r="B20" s="84" t="s">
        <v>762</v>
      </c>
      <c r="C20" s="84" t="s">
        <v>263</v>
      </c>
      <c r="D20" s="84" t="s">
        <v>263</v>
      </c>
      <c r="E20" s="84" t="s">
        <v>763</v>
      </c>
      <c r="F20" s="84" t="str">
        <f t="shared" si="2"/>
        <v>Straßenrand Stadt [Z: E4/F:E4 ]</v>
      </c>
    </row>
    <row r="21" spans="2:6" ht="20">
      <c r="B21" s="84" t="s">
        <v>764</v>
      </c>
      <c r="C21" s="84" t="s">
        <v>263</v>
      </c>
      <c r="D21" s="84" t="s">
        <v>263</v>
      </c>
      <c r="E21" s="84" t="s">
        <v>765</v>
      </c>
      <c r="F21" s="84" t="str">
        <f t="shared" si="2"/>
        <v>Parkplatz / Parkhaus /
Garage [Z: E4/F:E4 ]</v>
      </c>
    </row>
    <row r="22" spans="2:6" ht="20">
      <c r="B22" s="84" t="s">
        <v>764</v>
      </c>
      <c r="C22" s="84" t="s">
        <v>263</v>
      </c>
      <c r="D22" s="84" t="s">
        <v>263</v>
      </c>
      <c r="E22" s="84" t="s">
        <v>766</v>
      </c>
      <c r="F22" s="84" t="str">
        <f t="shared" si="2"/>
        <v>Parkplatz / Parkhaus /
Garage [Z: E4/F:E4 ]</v>
      </c>
    </row>
    <row r="23" spans="2:6">
      <c r="B23" s="86"/>
      <c r="C23" s="86"/>
      <c r="D23" s="86"/>
      <c r="E23" s="86"/>
      <c r="F23" s="94"/>
    </row>
    <row r="24" spans="2:6">
      <c r="B24" s="86"/>
      <c r="C24" s="86"/>
      <c r="D24" s="86"/>
      <c r="E24" s="86"/>
      <c r="F24" s="94"/>
    </row>
    <row r="25" spans="2:6" ht="21">
      <c r="B25" s="87" t="s">
        <v>767</v>
      </c>
      <c r="C25" s="88" t="s">
        <v>732</v>
      </c>
      <c r="D25" s="88" t="s">
        <v>733</v>
      </c>
      <c r="E25" s="87" t="s">
        <v>734</v>
      </c>
      <c r="F25" s="95" t="s">
        <v>768</v>
      </c>
    </row>
    <row r="26" spans="2:6">
      <c r="B26" s="79" t="s">
        <v>769</v>
      </c>
      <c r="C26" s="89"/>
      <c r="D26" s="89"/>
      <c r="E26" s="89"/>
      <c r="F26" s="96"/>
    </row>
    <row r="27" spans="2:6">
      <c r="B27" s="81" t="s">
        <v>770</v>
      </c>
      <c r="C27" s="89"/>
      <c r="D27" s="89"/>
      <c r="E27" s="89"/>
      <c r="F27" s="96"/>
    </row>
    <row r="28" spans="2:6">
      <c r="B28" s="83" t="s">
        <v>771</v>
      </c>
      <c r="C28" s="83" t="s">
        <v>263</v>
      </c>
      <c r="D28" s="345" t="s">
        <v>230</v>
      </c>
      <c r="E28" s="83" t="s">
        <v>772</v>
      </c>
      <c r="F28" s="92" t="str">
        <f>CONCATENATE(B28," [Z: ",C28,"/F:",D28," ]")</f>
        <v>normaler Reibwert (µ &gt; 0,8) [Z: E4/F:- ]</v>
      </c>
    </row>
    <row r="29" spans="2:6">
      <c r="B29" s="83" t="s">
        <v>773</v>
      </c>
      <c r="C29" s="83" t="s">
        <v>262</v>
      </c>
      <c r="D29" s="345" t="s">
        <v>230</v>
      </c>
      <c r="E29" s="83" t="s">
        <v>774</v>
      </c>
      <c r="F29" s="92" t="str">
        <f t="shared" ref="F29:F36" si="3">CONCATENATE(B29," [Z: ",C29,"/F:",D29," ]")</f>
        <v>reduzierter Reibwert (0,5 &lt; µ &lt; 0,8) [Z: E3/F:- ]</v>
      </c>
    </row>
    <row r="30" spans="2:6">
      <c r="B30" s="83" t="s">
        <v>775</v>
      </c>
      <c r="C30" s="83" t="s">
        <v>261</v>
      </c>
      <c r="D30" s="345" t="s">
        <v>230</v>
      </c>
      <c r="E30" s="83" t="s">
        <v>776</v>
      </c>
      <c r="F30" s="92" t="str">
        <f t="shared" si="3"/>
        <v>niedriger Reibwert (µ &lt; 0,5) [Z: E2/F:- ]</v>
      </c>
    </row>
    <row r="31" spans="2:6">
      <c r="B31" s="83" t="s">
        <v>777</v>
      </c>
      <c r="C31" s="83" t="s">
        <v>181</v>
      </c>
      <c r="D31" s="83" t="s">
        <v>261</v>
      </c>
      <c r="E31" s="83" t="s">
        <v>778</v>
      </c>
      <c r="F31" s="92" t="str">
        <f t="shared" si="3"/>
        <v>µ-Split-Situation [Z: E1/F:E2 ]</v>
      </c>
    </row>
    <row r="32" spans="2:6">
      <c r="B32" s="83" t="s">
        <v>779</v>
      </c>
      <c r="C32" s="83" t="s">
        <v>181</v>
      </c>
      <c r="D32" s="83" t="s">
        <v>262</v>
      </c>
      <c r="E32" s="83" t="s">
        <v>780</v>
      </c>
      <c r="F32" s="92" t="str">
        <f t="shared" si="3"/>
        <v>µ-Sprung-Situation [Z: E1/F:E3 ]</v>
      </c>
    </row>
    <row r="33" spans="2:6">
      <c r="B33" s="83" t="s">
        <v>781</v>
      </c>
      <c r="C33" s="83" t="s">
        <v>262</v>
      </c>
      <c r="D33" s="83" t="s">
        <v>262</v>
      </c>
      <c r="E33" s="83" t="s">
        <v>782</v>
      </c>
      <c r="F33" s="92" t="str">
        <f t="shared" si="3"/>
        <v>Fahrbahnunebenheiten [Z: E3/F:E3 ]</v>
      </c>
    </row>
    <row r="34" spans="2:6">
      <c r="B34" s="83" t="s">
        <v>783</v>
      </c>
      <c r="C34" s="83" t="s">
        <v>262</v>
      </c>
      <c r="D34" s="345" t="s">
        <v>230</v>
      </c>
      <c r="E34" s="83" t="s">
        <v>784</v>
      </c>
      <c r="F34" s="92" t="str">
        <f t="shared" si="3"/>
        <v>Fahren bei Dunkelheit ohne Restlicht [Z: E3/F:- ]</v>
      </c>
    </row>
    <row r="35" spans="2:6">
      <c r="B35" s="83" t="s">
        <v>785</v>
      </c>
      <c r="C35" s="83" t="s">
        <v>263</v>
      </c>
      <c r="D35" s="83" t="s">
        <v>263</v>
      </c>
      <c r="E35" s="83" t="s">
        <v>786</v>
      </c>
      <c r="F35" s="92" t="str">
        <f t="shared" si="3"/>
        <v>Fahren bei Dunkelheit mit Restlicht [Z: E4/F:E4 ]</v>
      </c>
    </row>
    <row r="36" spans="2:6">
      <c r="B36" s="83" t="s">
        <v>787</v>
      </c>
      <c r="C36" s="83" t="s">
        <v>261</v>
      </c>
      <c r="D36" s="83" t="s">
        <v>261</v>
      </c>
      <c r="E36" s="83" t="s">
        <v>788</v>
      </c>
      <c r="F36" s="92" t="str">
        <f t="shared" si="3"/>
        <v>Fahren bei schlechter Sicht  [Z: E2/F:E2 ]</v>
      </c>
    </row>
    <row r="37" spans="2:6">
      <c r="B37" s="98"/>
      <c r="C37" s="98"/>
      <c r="D37" s="98"/>
      <c r="E37" s="98"/>
      <c r="F37" s="92"/>
    </row>
    <row r="38" spans="2:6">
      <c r="B38" s="98"/>
      <c r="C38" s="98"/>
      <c r="D38" s="98"/>
      <c r="E38" s="98"/>
      <c r="F38" s="92"/>
    </row>
    <row r="39" spans="2:6">
      <c r="B39" s="98"/>
      <c r="C39" s="98"/>
      <c r="D39" s="98"/>
      <c r="E39" s="98"/>
      <c r="F39" s="92"/>
    </row>
    <row r="40" spans="2:6">
      <c r="B40" s="86"/>
      <c r="C40" s="86"/>
      <c r="D40" s="86"/>
      <c r="E40" s="86"/>
      <c r="F40" s="94"/>
    </row>
    <row r="41" spans="2:6">
      <c r="B41" s="86"/>
      <c r="C41" s="86"/>
      <c r="D41" s="86"/>
      <c r="E41" s="86"/>
      <c r="F41" s="94"/>
    </row>
    <row r="42" spans="2:6" ht="21">
      <c r="B42" s="87" t="s">
        <v>767</v>
      </c>
      <c r="C42" s="88" t="s">
        <v>732</v>
      </c>
      <c r="D42" s="88" t="s">
        <v>733</v>
      </c>
      <c r="E42" s="87" t="s">
        <v>734</v>
      </c>
      <c r="F42" s="95" t="s">
        <v>789</v>
      </c>
    </row>
    <row r="43" spans="2:6">
      <c r="B43" s="79" t="s">
        <v>790</v>
      </c>
      <c r="C43" s="89"/>
      <c r="D43" s="89"/>
      <c r="E43" s="89"/>
      <c r="F43" s="96"/>
    </row>
    <row r="44" spans="2:6">
      <c r="B44" s="81" t="s">
        <v>791</v>
      </c>
      <c r="C44" s="89"/>
      <c r="D44" s="89"/>
      <c r="E44" s="89"/>
      <c r="F44" s="96"/>
    </row>
    <row r="45" spans="2:6">
      <c r="B45" s="83" t="s">
        <v>792</v>
      </c>
      <c r="C45" s="83" t="s">
        <v>263</v>
      </c>
      <c r="D45" s="83" t="s">
        <v>263</v>
      </c>
      <c r="E45" s="83" t="s">
        <v>793</v>
      </c>
      <c r="F45" s="92" t="str">
        <f>CONCATENATE(B45," [Z: ",C45,"/F:",D45," ]")</f>
        <v>Freie Fahrt [Z: E4/F:E4 ]</v>
      </c>
    </row>
    <row r="46" spans="2:6">
      <c r="B46" s="83" t="s">
        <v>794</v>
      </c>
      <c r="C46" s="83" t="s">
        <v>263</v>
      </c>
      <c r="D46" s="83" t="s">
        <v>263</v>
      </c>
      <c r="E46" s="83" t="s">
        <v>795</v>
      </c>
      <c r="F46" s="92" t="str">
        <f t="shared" ref="F46:F65" si="4">CONCATENATE(B46," [Z: ",C46,"/F:",D46," ]")</f>
        <v>Folgefahrt (normaler Abstand) [Z: E4/F:E4 ]</v>
      </c>
    </row>
    <row r="47" spans="2:6">
      <c r="B47" s="83" t="s">
        <v>796</v>
      </c>
      <c r="C47" s="83" t="s">
        <v>262</v>
      </c>
      <c r="D47" s="83" t="s">
        <v>262</v>
      </c>
      <c r="E47" s="83" t="s">
        <v>797</v>
      </c>
      <c r="F47" s="92" t="str">
        <f t="shared" si="4"/>
        <v>Folgefahrt (geringer Abstand) [Z: E3/F:E3 ]</v>
      </c>
    </row>
    <row r="48" spans="2:6">
      <c r="B48" s="83" t="s">
        <v>798</v>
      </c>
      <c r="C48" s="83" t="s">
        <v>262</v>
      </c>
      <c r="D48" s="83" t="s">
        <v>263</v>
      </c>
      <c r="E48" s="83" t="s">
        <v>799</v>
      </c>
      <c r="F48" s="92" t="str">
        <f t="shared" si="4"/>
        <v>(Links-)Abbiegen (normaler Abstand) [Z: E3/F:E4 ]</v>
      </c>
    </row>
    <row r="49" spans="2:6" ht="22.9" customHeight="1">
      <c r="B49" s="99" t="s">
        <v>800</v>
      </c>
      <c r="C49" s="99" t="s">
        <v>181</v>
      </c>
      <c r="D49" s="99" t="s">
        <v>230</v>
      </c>
      <c r="E49" s="99" t="s">
        <v>797</v>
      </c>
      <c r="F49" s="100" t="str">
        <f t="shared" si="4"/>
        <v>(Links-)Abbiegen (geringer Abstand) [Z: E1/F:- ]</v>
      </c>
    </row>
    <row r="50" spans="2:6">
      <c r="B50" s="83" t="s">
        <v>801</v>
      </c>
      <c r="C50" s="83" t="s">
        <v>262</v>
      </c>
      <c r="D50" s="83" t="s">
        <v>263</v>
      </c>
      <c r="E50" s="83" t="s">
        <v>802</v>
      </c>
      <c r="F50" s="92" t="str">
        <f t="shared" si="4"/>
        <v>Kreuzung überqueren (normaler Abstand) [Z: E3/F:E4 ]</v>
      </c>
    </row>
    <row r="51" spans="2:6">
      <c r="B51" s="83" t="s">
        <v>803</v>
      </c>
      <c r="C51" s="83" t="s">
        <v>181</v>
      </c>
      <c r="D51" s="83" t="s">
        <v>230</v>
      </c>
      <c r="E51" s="83" t="s">
        <v>797</v>
      </c>
      <c r="F51" s="92" t="str">
        <f t="shared" si="4"/>
        <v>Kreuzung überqueren (geringer Abstand) [Z: E1/F:- ]</v>
      </c>
    </row>
    <row r="52" spans="2:6">
      <c r="B52" s="83" t="s">
        <v>804</v>
      </c>
      <c r="C52" s="83" t="s">
        <v>262</v>
      </c>
      <c r="D52" s="83" t="s">
        <v>263</v>
      </c>
      <c r="E52" s="83" t="s">
        <v>805</v>
      </c>
      <c r="F52" s="92" t="str">
        <f t="shared" si="4"/>
        <v>Spurwechsel (normal) [Z: E3/F:E4 ]</v>
      </c>
    </row>
    <row r="53" spans="2:6">
      <c r="B53" s="99" t="s">
        <v>806</v>
      </c>
      <c r="C53" s="99" t="s">
        <v>181</v>
      </c>
      <c r="D53" s="99" t="s">
        <v>230</v>
      </c>
      <c r="E53" s="99" t="s">
        <v>797</v>
      </c>
      <c r="F53" s="100" t="str">
        <f t="shared" si="4"/>
        <v>Spurwechsel (riskant) [Z: E1/F:- ]</v>
      </c>
    </row>
    <row r="54" spans="2:6">
      <c r="B54" s="82" t="s">
        <v>807</v>
      </c>
      <c r="C54" s="83" t="s">
        <v>261</v>
      </c>
      <c r="D54" s="83" t="s">
        <v>262</v>
      </c>
      <c r="E54" s="83" t="s">
        <v>808</v>
      </c>
      <c r="F54" s="92" t="str">
        <f t="shared" si="4"/>
        <v>Überholgen mit Gegenverkehr (normaler Abstand) [Z: E2/F:E3 ]</v>
      </c>
    </row>
    <row r="55" spans="2:6">
      <c r="B55" s="100" t="s">
        <v>809</v>
      </c>
      <c r="C55" s="99" t="s">
        <v>181</v>
      </c>
      <c r="D55" s="99" t="s">
        <v>230</v>
      </c>
      <c r="E55" s="99" t="s">
        <v>797</v>
      </c>
      <c r="F55" s="100" t="str">
        <f t="shared" si="4"/>
        <v>Überholen mit Gegenverkehr (geringer Abstand) [Z: E1/F:- ]</v>
      </c>
    </row>
    <row r="56" spans="2:6">
      <c r="B56" s="83" t="s">
        <v>810</v>
      </c>
      <c r="C56" s="83" t="s">
        <v>262</v>
      </c>
      <c r="D56" s="83" t="s">
        <v>263</v>
      </c>
      <c r="E56" s="83" t="s">
        <v>811</v>
      </c>
      <c r="F56" s="92" t="str">
        <f t="shared" si="4"/>
        <v>Ein- bzw. Ausparken [Z: E3/F:E4 ]</v>
      </c>
    </row>
    <row r="57" spans="2:6">
      <c r="B57" s="101" t="s">
        <v>812</v>
      </c>
      <c r="C57" s="102" t="s">
        <v>261</v>
      </c>
      <c r="D57" s="102" t="s">
        <v>262</v>
      </c>
      <c r="E57" s="102" t="s">
        <v>813</v>
      </c>
      <c r="F57" s="92" t="str">
        <f t="shared" ref="F57:F58" si="5">CONCATENATE(B57," [Z: ",C57,"/F:",D57," ]")</f>
        <v>Ein- bzw. Ausparken in Längsrichtung [Z: E2/F:E3 ]</v>
      </c>
    </row>
    <row r="58" spans="2:6">
      <c r="B58" s="101" t="s">
        <v>814</v>
      </c>
      <c r="C58" s="102" t="s">
        <v>262</v>
      </c>
      <c r="D58" s="102" t="s">
        <v>263</v>
      </c>
      <c r="E58" s="102" t="s">
        <v>815</v>
      </c>
      <c r="F58" s="92" t="str">
        <f t="shared" si="5"/>
        <v>Ein- bzw. Ausparken in Querrichtung [Z: E3/F:E4 ]</v>
      </c>
    </row>
    <row r="59" spans="2:6">
      <c r="B59" s="82" t="s">
        <v>816</v>
      </c>
      <c r="C59" s="83" t="s">
        <v>263</v>
      </c>
      <c r="D59" s="83" t="s">
        <v>263</v>
      </c>
      <c r="E59" s="83" t="s">
        <v>817</v>
      </c>
      <c r="F59" s="92" t="str">
        <f t="shared" si="4"/>
        <v>Halten an Stoppschild, Ampel, Zebrasteifen … [Z: E4/F:E4 ]</v>
      </c>
    </row>
    <row r="60" spans="2:6">
      <c r="B60" s="82" t="s">
        <v>818</v>
      </c>
      <c r="C60" s="83" t="s">
        <v>262</v>
      </c>
      <c r="D60" s="83" t="s">
        <v>263</v>
      </c>
      <c r="E60" s="83" t="s">
        <v>819</v>
      </c>
      <c r="F60" s="92" t="str">
        <f t="shared" si="4"/>
        <v>Halten an Stoppschild, Ampel, Zebrasteifen an erster Stelle [Z: E3/F:E4 ]</v>
      </c>
    </row>
    <row r="61" spans="2:6">
      <c r="B61" s="82" t="s">
        <v>820</v>
      </c>
      <c r="C61" s="82" t="s">
        <v>263</v>
      </c>
      <c r="D61" s="82" t="s">
        <v>263</v>
      </c>
      <c r="E61" s="82" t="s">
        <v>821</v>
      </c>
      <c r="F61" s="82" t="str">
        <f t="shared" si="4"/>
        <v>Halten an Steigung (&lt; 2%) [Z: E4/F:E4 ]</v>
      </c>
    </row>
    <row r="62" spans="2:6">
      <c r="B62" s="82" t="s">
        <v>822</v>
      </c>
      <c r="C62" s="82" t="s">
        <v>262</v>
      </c>
      <c r="D62" s="82" t="s">
        <v>262</v>
      </c>
      <c r="E62" s="82" t="s">
        <v>823</v>
      </c>
      <c r="F62" s="82" t="str">
        <f t="shared" si="4"/>
        <v>Halten an Hang (2% bis 8%) [Z: E3/F:E3 ]</v>
      </c>
    </row>
    <row r="63" spans="2:6">
      <c r="B63" s="82" t="s">
        <v>824</v>
      </c>
      <c r="C63" s="82" t="s">
        <v>261</v>
      </c>
      <c r="D63" s="82" t="s">
        <v>261</v>
      </c>
      <c r="E63" s="82" t="s">
        <v>825</v>
      </c>
      <c r="F63" s="82" t="str">
        <f t="shared" si="4"/>
        <v>Halten an Hang (&gt; 8%) [Z: E2/F:E2 ]</v>
      </c>
    </row>
    <row r="64" spans="2:6">
      <c r="B64" s="82" t="s">
        <v>826</v>
      </c>
      <c r="C64" s="82" t="s">
        <v>262</v>
      </c>
      <c r="D64" s="82" t="s">
        <v>263</v>
      </c>
      <c r="E64" s="82" t="s">
        <v>827</v>
      </c>
      <c r="F64" s="82" t="str">
        <f t="shared" si="4"/>
        <v>Langsames Fahren / Anfahrvorgang (0 &lt; x &lt; 12km/h) [Z: E3/F:E4 ]</v>
      </c>
    </row>
    <row r="65" spans="2:6">
      <c r="B65" s="82" t="s">
        <v>828</v>
      </c>
      <c r="C65" s="82" t="s">
        <v>261</v>
      </c>
      <c r="D65" s="82" t="s">
        <v>261</v>
      </c>
      <c r="E65" s="82" t="s">
        <v>829</v>
      </c>
      <c r="F65" s="82" t="str">
        <f t="shared" si="4"/>
        <v>Fahren mit Anhänger [Z: E2/F:E2 ]</v>
      </c>
    </row>
    <row r="66" spans="2:6">
      <c r="B66" s="86"/>
      <c r="C66" s="86"/>
      <c r="D66" s="86"/>
      <c r="E66" s="86"/>
      <c r="F66" s="94"/>
    </row>
    <row r="67" spans="2:6">
      <c r="B67" s="86"/>
      <c r="C67" s="86"/>
      <c r="D67" s="86"/>
      <c r="E67" s="86"/>
      <c r="F67" s="94"/>
    </row>
    <row r="68" spans="2:6" ht="21">
      <c r="B68" s="87" t="s">
        <v>767</v>
      </c>
      <c r="C68" s="88" t="s">
        <v>732</v>
      </c>
      <c r="D68" s="88" t="s">
        <v>733</v>
      </c>
      <c r="E68" s="87" t="s">
        <v>734</v>
      </c>
      <c r="F68" s="95" t="s">
        <v>830</v>
      </c>
    </row>
    <row r="69" spans="2:6">
      <c r="B69" s="79" t="s">
        <v>831</v>
      </c>
      <c r="C69" s="89"/>
      <c r="D69" s="89"/>
      <c r="E69" s="89"/>
      <c r="F69" s="96"/>
    </row>
    <row r="70" spans="2:6">
      <c r="B70" s="103" t="s">
        <v>832</v>
      </c>
      <c r="C70" s="103" t="s">
        <v>262</v>
      </c>
      <c r="D70" s="103" t="s">
        <v>263</v>
      </c>
      <c r="E70" s="103" t="s">
        <v>827</v>
      </c>
      <c r="F70" s="92" t="str">
        <f>CONCATENATE(B70," [Z: ",C70,"/F:",D70," ]")</f>
        <v>Langsames Fahren / Anfahrvorgang (0 &lt; x &lt; 15 km/h) [Z: E3/F:E4 ]</v>
      </c>
    </row>
    <row r="71" spans="2:6">
      <c r="B71" s="103" t="s">
        <v>833</v>
      </c>
      <c r="C71" s="103" t="s">
        <v>262</v>
      </c>
      <c r="D71" s="103" t="s">
        <v>263</v>
      </c>
      <c r="E71" s="103" t="s">
        <v>834</v>
      </c>
      <c r="F71" s="82" t="str">
        <f t="shared" ref="F71:F83" si="6">CONCATENATE(B71," [Z: ",C71,"/F:",D71," ]")</f>
        <v>Fahren (v &lt; 30 km/h) [Z: E3/F:E4 ]</v>
      </c>
    </row>
    <row r="72" spans="2:6">
      <c r="B72" s="103" t="s">
        <v>835</v>
      </c>
      <c r="C72" s="103" t="s">
        <v>263</v>
      </c>
      <c r="D72" s="103" t="s">
        <v>263</v>
      </c>
      <c r="E72" s="103" t="s">
        <v>836</v>
      </c>
      <c r="F72" s="82" t="str">
        <f t="shared" si="6"/>
        <v>Fahren (30 &lt; v &lt; 50 km/h) [Z: E4/F:E4 ]</v>
      </c>
    </row>
    <row r="73" spans="2:6">
      <c r="B73" s="103" t="s">
        <v>837</v>
      </c>
      <c r="C73" s="103" t="s">
        <v>263</v>
      </c>
      <c r="D73" s="103" t="s">
        <v>263</v>
      </c>
      <c r="E73" s="103" t="s">
        <v>838</v>
      </c>
      <c r="F73" s="82" t="str">
        <f t="shared" si="6"/>
        <v>Fahren (60 &lt; v &lt; 120 km/h) [Z: E4/F:E4 ]</v>
      </c>
    </row>
    <row r="74" spans="2:6">
      <c r="B74" s="103" t="s">
        <v>839</v>
      </c>
      <c r="C74" s="103" t="s">
        <v>263</v>
      </c>
      <c r="D74" s="103" t="s">
        <v>263</v>
      </c>
      <c r="E74" s="103" t="s">
        <v>838</v>
      </c>
      <c r="F74" s="82" t="str">
        <f t="shared" si="6"/>
        <v>Fahren (v bis 130 km/h) [Z: E4/F:E4 ]</v>
      </c>
    </row>
    <row r="75" spans="2:6">
      <c r="B75" s="103" t="s">
        <v>840</v>
      </c>
      <c r="C75" s="103" t="s">
        <v>262</v>
      </c>
      <c r="D75" s="103" t="s">
        <v>230</v>
      </c>
      <c r="E75" s="103" t="s">
        <v>467</v>
      </c>
      <c r="F75" s="82" t="str">
        <f t="shared" si="6"/>
        <v>Fahren (v &gt; 130 km/h) [Z: E3/F:- ]</v>
      </c>
    </row>
    <row r="76" spans="2:6">
      <c r="B76" s="103" t="s">
        <v>841</v>
      </c>
      <c r="C76" s="103" t="s">
        <v>261</v>
      </c>
      <c r="D76" s="103" t="s">
        <v>230</v>
      </c>
      <c r="E76" s="103" t="s">
        <v>842</v>
      </c>
      <c r="F76" s="82" t="str">
        <f t="shared" si="6"/>
        <v>Fahren (v &gt; 180 km/h) [Z: E2/F:- ]</v>
      </c>
    </row>
    <row r="77" spans="2:6">
      <c r="B77" s="103" t="s">
        <v>843</v>
      </c>
      <c r="C77" s="103" t="s">
        <v>181</v>
      </c>
      <c r="D77" s="103" t="s">
        <v>230</v>
      </c>
      <c r="E77" s="103" t="s">
        <v>844</v>
      </c>
      <c r="F77" s="82" t="str">
        <f t="shared" si="6"/>
        <v>Fahren (v &gt; 200 km/h) [Z: E1/F:- ]</v>
      </c>
    </row>
    <row r="78" spans="2:6">
      <c r="B78" s="103" t="s">
        <v>845</v>
      </c>
      <c r="C78" s="103" t="s">
        <v>263</v>
      </c>
      <c r="D78" s="103" t="s">
        <v>263</v>
      </c>
      <c r="E78" s="103" t="s">
        <v>846</v>
      </c>
      <c r="F78" s="82" t="str">
        <f t="shared" ref="F78:F82" si="7">CONCATENATE(B78," [Z: ",C78,"/F:",D78," ]")</f>
        <v>Beschleunigen (normal, a &lt; 2 m/s2)  [Z: E4/F:E4 ]</v>
      </c>
    </row>
    <row r="79" spans="2:6">
      <c r="B79" s="103" t="s">
        <v>847</v>
      </c>
      <c r="C79" s="103" t="s">
        <v>262</v>
      </c>
      <c r="D79" s="103" t="s">
        <v>263</v>
      </c>
      <c r="E79" s="103" t="s">
        <v>848</v>
      </c>
      <c r="F79" s="82" t="str">
        <f t="shared" si="7"/>
        <v>Beschleunigen (mittel, 2 m/s2 &lt; a &lt; 4 m/s") [Z: E3/F:E4 ]</v>
      </c>
    </row>
    <row r="80" spans="2:6" ht="23.65" customHeight="1">
      <c r="B80" s="103" t="s">
        <v>849</v>
      </c>
      <c r="C80" s="103" t="s">
        <v>261</v>
      </c>
      <c r="D80" s="103" t="s">
        <v>262</v>
      </c>
      <c r="E80" s="103" t="s">
        <v>850</v>
      </c>
      <c r="F80" s="82" t="str">
        <f t="shared" si="7"/>
        <v>Beschleunigen (stark, a &gt; 4 m/s2) [Z: E2/F:E3 ]</v>
      </c>
    </row>
    <row r="81" spans="2:6">
      <c r="B81" s="103" t="s">
        <v>851</v>
      </c>
      <c r="C81" s="103" t="s">
        <v>263</v>
      </c>
      <c r="D81" s="103" t="s">
        <v>263</v>
      </c>
      <c r="E81" s="103" t="s">
        <v>852</v>
      </c>
      <c r="F81" s="82" t="str">
        <f t="shared" si="7"/>
        <v>Verzögern (normal, - 2,44m/s2 &lt; a &lt; 0)  [Z: E4/F:E4 ]</v>
      </c>
    </row>
    <row r="82" spans="2:6">
      <c r="B82" s="103" t="s">
        <v>853</v>
      </c>
      <c r="C82" s="103" t="s">
        <v>262</v>
      </c>
      <c r="D82" s="103" t="s">
        <v>263</v>
      </c>
      <c r="E82" s="103" t="s">
        <v>852</v>
      </c>
      <c r="F82" s="82" t="str">
        <f t="shared" si="7"/>
        <v>Verzögern (mittel,  - 4 m/s2 &lt; a &lt; - 2,44 m/s2)  [Z: E3/F:E4 ]</v>
      </c>
    </row>
    <row r="83" spans="2:6">
      <c r="B83" s="103" t="s">
        <v>854</v>
      </c>
      <c r="C83" s="103" t="s">
        <v>261</v>
      </c>
      <c r="D83" s="103" t="s">
        <v>262</v>
      </c>
      <c r="E83" s="103" t="s">
        <v>852</v>
      </c>
      <c r="F83" s="82" t="str">
        <f t="shared" si="6"/>
        <v>Verzögern (stark, - 6,5 m/s2 &lt; a &lt; - 4,0 m/s2)  [Z: E2/F:E3 ]</v>
      </c>
    </row>
    <row r="84" spans="2:6">
      <c r="B84" s="103" t="s">
        <v>855</v>
      </c>
      <c r="C84" s="103" t="s">
        <v>181</v>
      </c>
      <c r="D84" s="103" t="s">
        <v>261</v>
      </c>
      <c r="E84" s="103" t="s">
        <v>852</v>
      </c>
      <c r="F84" s="82" t="str">
        <f t="shared" ref="F84:F91" si="8">CONCATENATE(B84," [Z: ",C84,"/F:",D84," ]")</f>
        <v>Verzögern (Notbremsung, a &lt; - 6,5 m/s2)  [Z: E1/F:E2 ]</v>
      </c>
    </row>
    <row r="85" spans="2:6">
      <c r="B85" s="103" t="s">
        <v>856</v>
      </c>
      <c r="C85" s="103" t="s">
        <v>263</v>
      </c>
      <c r="D85" s="103" t="s">
        <v>263</v>
      </c>
      <c r="E85" s="103" t="s">
        <v>852</v>
      </c>
      <c r="F85" s="82" t="str">
        <f t="shared" si="8"/>
        <v>Fahrzeug anfahrbereit [Z: E4/F:E4 ]</v>
      </c>
    </row>
    <row r="86" spans="2:6">
      <c r="B86" s="103" t="s">
        <v>857</v>
      </c>
      <c r="C86" s="103" t="s">
        <v>263</v>
      </c>
      <c r="D86" s="103" t="s">
        <v>263</v>
      </c>
      <c r="E86" s="103" t="s">
        <v>852</v>
      </c>
      <c r="F86" s="82" t="str">
        <f t="shared" si="8"/>
        <v>Fahrzeug steht [Z: E4/F:E4 ]</v>
      </c>
    </row>
    <row r="87" spans="2:6" ht="25">
      <c r="B87" s="104" t="s">
        <v>858</v>
      </c>
      <c r="C87" s="103" t="s">
        <v>263</v>
      </c>
      <c r="D87" s="103" t="s">
        <v>263</v>
      </c>
      <c r="E87" s="103" t="s">
        <v>797</v>
      </c>
      <c r="F87" s="82" t="str">
        <f t="shared" si="8"/>
        <v>nicht betätigtes Fahrpedal (Schubbetrieb) 
oder während Schubrekuperation [Z: E4/F:E4 ]</v>
      </c>
    </row>
    <row r="88" spans="2:6">
      <c r="B88" s="103" t="s">
        <v>859</v>
      </c>
      <c r="C88" s="103" t="s">
        <v>263</v>
      </c>
      <c r="D88" s="103" t="s">
        <v>263</v>
      </c>
      <c r="E88" s="103" t="s">
        <v>852</v>
      </c>
      <c r="F88" s="82" t="str">
        <f t="shared" si="8"/>
        <v>Normale Querbeschleunigung (ay &lt; 3 m/s²) [Z: E4/F:E4 ]</v>
      </c>
    </row>
    <row r="89" spans="2:6">
      <c r="B89" s="103" t="s">
        <v>860</v>
      </c>
      <c r="C89" s="103" t="s">
        <v>262</v>
      </c>
      <c r="D89" s="103" t="s">
        <v>263</v>
      </c>
      <c r="E89" s="103" t="s">
        <v>852</v>
      </c>
      <c r="F89" s="82" t="str">
        <f t="shared" si="8"/>
        <v>Erhöhte Querbeschleunigung (3 m/s² &lt; ay &lt; 5 m/s²) [Z: E3/F:E4 ]</v>
      </c>
    </row>
    <row r="90" spans="2:6">
      <c r="B90" s="103" t="s">
        <v>861</v>
      </c>
      <c r="C90" s="103" t="s">
        <v>261</v>
      </c>
      <c r="D90" s="103" t="s">
        <v>262</v>
      </c>
      <c r="E90" s="103" t="s">
        <v>852</v>
      </c>
      <c r="F90" s="82" t="str">
        <f t="shared" si="8"/>
        <v>Hohe Querbeschleunigung (5 m/s² &lt; ay &lt; 7 m/s²) [Z: E2/F:E3 ]</v>
      </c>
    </row>
    <row r="91" spans="2:6">
      <c r="B91" s="103" t="s">
        <v>862</v>
      </c>
      <c r="C91" s="103" t="s">
        <v>181</v>
      </c>
      <c r="D91" s="103" t="s">
        <v>261</v>
      </c>
      <c r="E91" s="103" t="s">
        <v>852</v>
      </c>
      <c r="F91" s="83" t="str">
        <f t="shared" si="8"/>
        <v>Sehr hohe Querbeschleunigung (ay &gt; 7 m/s²) [Z: E1/F:E2 ]</v>
      </c>
    </row>
    <row r="92" spans="2:6">
      <c r="B92" s="99"/>
      <c r="C92" s="99"/>
      <c r="D92" s="99"/>
      <c r="E92" s="100"/>
      <c r="F92" s="100"/>
    </row>
    <row r="93" spans="2:6">
      <c r="B93" s="103" t="s">
        <v>863</v>
      </c>
      <c r="C93" s="103" t="s">
        <v>230</v>
      </c>
      <c r="D93" s="103" t="s">
        <v>262</v>
      </c>
      <c r="E93" s="103" t="s">
        <v>864</v>
      </c>
      <c r="F93" s="100"/>
    </row>
    <row r="94" spans="2:6">
      <c r="B94" s="103" t="s">
        <v>865</v>
      </c>
      <c r="C94" s="103" t="s">
        <v>230</v>
      </c>
      <c r="D94" s="103" t="s">
        <v>261</v>
      </c>
      <c r="E94" s="103" t="s">
        <v>864</v>
      </c>
      <c r="F94" s="100"/>
    </row>
    <row r="95" spans="2:6">
      <c r="B95" s="103" t="s">
        <v>866</v>
      </c>
      <c r="C95" s="103" t="s">
        <v>230</v>
      </c>
      <c r="D95" s="103" t="s">
        <v>261</v>
      </c>
      <c r="E95" s="103" t="s">
        <v>864</v>
      </c>
      <c r="F95" s="100"/>
    </row>
    <row r="96" spans="2:6">
      <c r="B96" s="103" t="s">
        <v>867</v>
      </c>
      <c r="C96" s="103" t="s">
        <v>230</v>
      </c>
      <c r="D96" s="103" t="s">
        <v>261</v>
      </c>
      <c r="E96" s="103" t="s">
        <v>864</v>
      </c>
      <c r="F96" s="100"/>
    </row>
    <row r="97" spans="2:6">
      <c r="B97" s="99"/>
      <c r="C97" s="99"/>
      <c r="D97" s="99"/>
      <c r="E97" s="100"/>
      <c r="F97" s="100"/>
    </row>
    <row r="98" spans="2:6">
      <c r="B98" s="86"/>
      <c r="C98" s="86"/>
      <c r="D98" s="86"/>
      <c r="E98" s="86"/>
      <c r="F98" s="105"/>
    </row>
    <row r="99" spans="2:6">
      <c r="B99" s="86"/>
      <c r="C99" s="86"/>
      <c r="D99" s="86"/>
      <c r="E99" s="86"/>
      <c r="F99" s="105"/>
    </row>
    <row r="100" spans="2:6" ht="21">
      <c r="B100" s="87" t="s">
        <v>767</v>
      </c>
      <c r="C100" s="88" t="s">
        <v>732</v>
      </c>
      <c r="D100" s="88" t="s">
        <v>733</v>
      </c>
      <c r="E100" s="87" t="s">
        <v>734</v>
      </c>
      <c r="F100" s="106"/>
    </row>
    <row r="101" spans="2:6">
      <c r="B101" s="79" t="s">
        <v>868</v>
      </c>
      <c r="C101" s="89"/>
      <c r="D101" s="89"/>
      <c r="E101" s="89"/>
      <c r="F101" s="89"/>
    </row>
    <row r="102" spans="2:6">
      <c r="B102" s="83" t="s">
        <v>869</v>
      </c>
      <c r="C102" s="83" t="s">
        <v>263</v>
      </c>
      <c r="D102" s="83" t="s">
        <v>263</v>
      </c>
      <c r="E102" s="83" t="s">
        <v>230</v>
      </c>
      <c r="F102" s="92" t="str">
        <f t="shared" ref="F102:F106" si="9">CONCATENATE(B102," [Z: ",C102,"/F:",D102," ]")</f>
        <v>Personen in einem Fahrzeug [Z: E4/F:E4 ]</v>
      </c>
    </row>
    <row r="103" spans="2:6">
      <c r="B103" s="83" t="s">
        <v>870</v>
      </c>
      <c r="C103" s="83" t="s">
        <v>262</v>
      </c>
      <c r="D103" s="83" t="s">
        <v>263</v>
      </c>
      <c r="E103" s="83" t="s">
        <v>871</v>
      </c>
      <c r="F103" s="92"/>
    </row>
    <row r="104" spans="2:6">
      <c r="B104" s="82" t="s">
        <v>872</v>
      </c>
      <c r="C104" s="83" t="s">
        <v>263</v>
      </c>
      <c r="D104" s="83" t="s">
        <v>263</v>
      </c>
      <c r="E104" s="83" t="s">
        <v>230</v>
      </c>
      <c r="F104" s="92" t="str">
        <f t="shared" si="9"/>
        <v>Andere Verkehrsteilnehmer (z.B. Radfahrer, Fussgänger) [Z: E4/F:E4 ]</v>
      </c>
    </row>
    <row r="105" spans="2:6">
      <c r="B105" s="82" t="s">
        <v>873</v>
      </c>
      <c r="C105" s="83" t="s">
        <v>262</v>
      </c>
      <c r="D105" s="83" t="s">
        <v>263</v>
      </c>
      <c r="E105" s="83" t="s">
        <v>871</v>
      </c>
      <c r="F105" s="92" t="str">
        <f t="shared" si="9"/>
        <v>Personen im Gefahrenbereich (ca. 1 Fahrzeuglänge) [Z: E3/F:E4 ]</v>
      </c>
    </row>
    <row r="106" spans="2:6">
      <c r="B106" s="82" t="s">
        <v>874</v>
      </c>
      <c r="C106" s="83" t="s">
        <v>261</v>
      </c>
      <c r="D106" s="83" t="s">
        <v>262</v>
      </c>
      <c r="E106" s="83" t="s">
        <v>871</v>
      </c>
      <c r="F106" s="92" t="str">
        <f t="shared" si="9"/>
        <v>Personen im engen Gefahrenbereich (ca. 2 m Abstand) [Z: E2/F:E3 ]</v>
      </c>
    </row>
    <row r="107" spans="2:6">
      <c r="B107" s="83"/>
      <c r="C107" s="98"/>
      <c r="D107" s="98"/>
      <c r="E107" s="98"/>
      <c r="F107" s="93"/>
    </row>
    <row r="108" spans="2:6">
      <c r="B108" s="101"/>
      <c r="C108" s="101"/>
      <c r="D108" s="101"/>
      <c r="E108" s="101"/>
      <c r="F108" s="93"/>
    </row>
    <row r="109" spans="2:6">
      <c r="F109" s="107"/>
    </row>
    <row r="110" spans="2:6">
      <c r="F110" s="107"/>
    </row>
    <row r="111" spans="2:6">
      <c r="F111" s="107"/>
    </row>
    <row r="112" spans="2:6">
      <c r="F112" s="107"/>
    </row>
    <row r="113" spans="6:6">
      <c r="F113" s="107"/>
    </row>
    <row r="114" spans="6:6">
      <c r="F114" s="107"/>
    </row>
    <row r="115" spans="6:6">
      <c r="F115" s="107"/>
    </row>
    <row r="116" spans="6:6">
      <c r="F116" s="107"/>
    </row>
    <row r="117" spans="6:6">
      <c r="F117" s="107"/>
    </row>
    <row r="118" spans="6:6">
      <c r="F118" s="107"/>
    </row>
    <row r="119" spans="6:6">
      <c r="F119" s="107"/>
    </row>
    <row r="120" spans="6:6">
      <c r="F120" s="107"/>
    </row>
    <row r="121" spans="6:6">
      <c r="F121" s="107"/>
    </row>
    <row r="122" spans="6:6">
      <c r="F122" s="107"/>
    </row>
    <row r="123" spans="6:6">
      <c r="F123" s="107"/>
    </row>
    <row r="124" spans="6:6">
      <c r="F124" s="107"/>
    </row>
    <row r="125" spans="6:6">
      <c r="F125" s="107"/>
    </row>
    <row r="126" spans="6:6">
      <c r="F126" s="107"/>
    </row>
    <row r="127" spans="6:6">
      <c r="F127" s="107"/>
    </row>
    <row r="128" spans="6:6">
      <c r="F128" s="107"/>
    </row>
    <row r="129" spans="6:6">
      <c r="F129" s="107"/>
    </row>
  </sheetData>
  <sheetProtection formatCells="0" formatColumns="0" formatRows="0" insertColumns="0" insertRows="0" insertHyperlinks="0" deleteColumns="0" deleteRows="0" sort="0" autoFilter="0" pivotTables="0"/>
  <mergeCells count="3">
    <mergeCell ref="B1:F1"/>
    <mergeCell ref="B2:F2"/>
    <mergeCell ref="B3:F3"/>
  </mergeCells>
  <phoneticPr fontId="52" type="noConversion"/>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C2:K201"/>
  <sheetViews>
    <sheetView showGridLines="0" zoomScalePageLayoutView="65" workbookViewId="0">
      <selection activeCell="D73" sqref="D73"/>
    </sheetView>
  </sheetViews>
  <sheetFormatPr defaultColWidth="11.4140625" defaultRowHeight="12.5"/>
  <cols>
    <col min="1" max="2" width="3.1640625" style="50" customWidth="1"/>
    <col min="3" max="3" width="14.4140625" style="50" customWidth="1"/>
    <col min="4" max="4" width="38.4140625" style="50" customWidth="1"/>
    <col min="5" max="5" width="37.1640625" style="50" customWidth="1"/>
    <col min="6" max="6" width="2.83203125" style="50" customWidth="1"/>
    <col min="7" max="8" width="14.83203125" style="50" customWidth="1"/>
    <col min="9" max="9" width="2.83203125" style="50" customWidth="1"/>
    <col min="10" max="10" width="36.1640625" style="50" customWidth="1"/>
    <col min="11" max="11" width="24.4140625" style="50" customWidth="1"/>
    <col min="12" max="16384" width="11.4140625" style="50"/>
  </cols>
  <sheetData>
    <row r="2" spans="3:11" ht="20.25" customHeight="1">
      <c r="C2" s="532" t="s">
        <v>875</v>
      </c>
      <c r="D2" s="533"/>
      <c r="E2" s="533"/>
      <c r="F2" s="533"/>
      <c r="G2" s="533"/>
      <c r="H2" s="533"/>
      <c r="I2" s="533"/>
      <c r="J2" s="533"/>
      <c r="K2" s="534"/>
    </row>
    <row r="3" spans="3:11" ht="20.25" customHeight="1">
      <c r="C3" s="535"/>
      <c r="D3" s="536"/>
      <c r="E3" s="536"/>
      <c r="F3" s="536"/>
      <c r="G3" s="536"/>
      <c r="H3" s="536"/>
      <c r="I3" s="536"/>
      <c r="J3" s="536"/>
      <c r="K3" s="537"/>
    </row>
    <row r="4" spans="3:11" ht="20.25" customHeight="1">
      <c r="C4" s="51"/>
      <c r="D4" s="52"/>
      <c r="E4" s="52"/>
      <c r="F4" s="52"/>
      <c r="G4" s="52"/>
      <c r="H4" s="52"/>
      <c r="I4" s="52"/>
      <c r="J4" s="52"/>
      <c r="K4" s="52"/>
    </row>
    <row r="5" spans="3:11" ht="42.75" customHeight="1">
      <c r="C5" s="520" t="s">
        <v>876</v>
      </c>
      <c r="D5" s="521"/>
      <c r="E5" s="522"/>
      <c r="F5" s="538"/>
      <c r="G5" s="61" t="s">
        <v>877</v>
      </c>
      <c r="H5" s="62" t="s">
        <v>878</v>
      </c>
      <c r="I5" s="538"/>
      <c r="J5" s="539" t="s">
        <v>879</v>
      </c>
      <c r="K5" s="541" t="s">
        <v>880</v>
      </c>
    </row>
    <row r="6" spans="3:11" ht="13">
      <c r="C6" s="53" t="s">
        <v>881</v>
      </c>
      <c r="D6" s="54" t="s">
        <v>882</v>
      </c>
      <c r="E6" s="63" t="s">
        <v>883</v>
      </c>
      <c r="F6" s="538"/>
      <c r="G6" s="64" t="s">
        <v>884</v>
      </c>
      <c r="H6" s="63" t="s">
        <v>885</v>
      </c>
      <c r="I6" s="538"/>
      <c r="J6" s="540"/>
      <c r="K6" s="542"/>
    </row>
    <row r="7" spans="3:11" ht="14">
      <c r="C7" s="523" t="s">
        <v>886</v>
      </c>
      <c r="D7" s="524"/>
      <c r="E7" s="524"/>
      <c r="F7" s="65"/>
      <c r="G7" s="525"/>
      <c r="H7" s="525"/>
      <c r="I7" s="65"/>
      <c r="J7" s="525"/>
      <c r="K7" s="526"/>
    </row>
    <row r="8" spans="3:11" ht="14">
      <c r="C8" s="55" t="s">
        <v>887</v>
      </c>
      <c r="D8" s="527" t="s">
        <v>888</v>
      </c>
      <c r="E8" s="527"/>
      <c r="F8" s="65"/>
      <c r="G8" s="528"/>
      <c r="H8" s="528"/>
      <c r="I8" s="65"/>
      <c r="J8" s="528"/>
      <c r="K8" s="529"/>
    </row>
    <row r="9" spans="3:11" ht="25">
      <c r="C9" s="56" t="s">
        <v>889</v>
      </c>
      <c r="D9" s="57" t="s">
        <v>890</v>
      </c>
      <c r="E9" s="57" t="s">
        <v>891</v>
      </c>
      <c r="F9" s="66"/>
      <c r="G9" s="57" t="s">
        <v>262</v>
      </c>
      <c r="H9" s="57" t="s">
        <v>262</v>
      </c>
      <c r="I9" s="66"/>
      <c r="J9" s="57"/>
      <c r="K9" s="68"/>
    </row>
    <row r="10" spans="3:11" ht="14">
      <c r="C10" s="55" t="s">
        <v>892</v>
      </c>
      <c r="D10" s="528" t="s">
        <v>893</v>
      </c>
      <c r="E10" s="528"/>
      <c r="F10" s="65"/>
      <c r="G10" s="528"/>
      <c r="H10" s="528"/>
      <c r="I10" s="65"/>
      <c r="J10" s="528"/>
      <c r="K10" s="529"/>
    </row>
    <row r="11" spans="3:11" ht="70">
      <c r="C11" s="58" t="s">
        <v>894</v>
      </c>
      <c r="D11" s="59" t="s">
        <v>895</v>
      </c>
      <c r="E11" s="59" t="s">
        <v>896</v>
      </c>
      <c r="F11" s="67"/>
      <c r="G11" s="59" t="s">
        <v>261</v>
      </c>
      <c r="H11" s="59" t="s">
        <v>263</v>
      </c>
      <c r="I11" s="67"/>
      <c r="J11" s="59" t="s">
        <v>897</v>
      </c>
      <c r="K11" s="68"/>
    </row>
    <row r="12" spans="3:11" ht="42">
      <c r="C12" s="58" t="s">
        <v>898</v>
      </c>
      <c r="D12" s="59" t="s">
        <v>899</v>
      </c>
      <c r="E12" s="59" t="s">
        <v>900</v>
      </c>
      <c r="F12" s="67"/>
      <c r="G12" s="59" t="s">
        <v>262</v>
      </c>
      <c r="H12" s="59" t="s">
        <v>263</v>
      </c>
      <c r="I12" s="67"/>
      <c r="J12" s="59" t="s">
        <v>901</v>
      </c>
      <c r="K12" s="68"/>
    </row>
    <row r="13" spans="3:11" ht="14">
      <c r="C13" s="55" t="s">
        <v>902</v>
      </c>
      <c r="D13" s="528" t="s">
        <v>903</v>
      </c>
      <c r="E13" s="528"/>
      <c r="F13" s="65"/>
      <c r="G13" s="528"/>
      <c r="H13" s="528"/>
      <c r="I13" s="65"/>
      <c r="J13" s="528"/>
      <c r="K13" s="529"/>
    </row>
    <row r="14" spans="3:11" ht="98">
      <c r="C14" s="58" t="s">
        <v>904</v>
      </c>
      <c r="D14" s="60" t="s">
        <v>905</v>
      </c>
      <c r="E14" s="59"/>
      <c r="F14" s="67"/>
      <c r="G14" s="59" t="s">
        <v>261</v>
      </c>
      <c r="H14" s="59" t="s">
        <v>263</v>
      </c>
      <c r="I14" s="67"/>
      <c r="J14" s="346" t="s">
        <v>906</v>
      </c>
      <c r="K14" s="68"/>
    </row>
    <row r="15" spans="3:11" ht="42">
      <c r="C15" s="58" t="s">
        <v>907</v>
      </c>
      <c r="D15" s="59" t="s">
        <v>908</v>
      </c>
      <c r="E15" s="59"/>
      <c r="F15" s="67"/>
      <c r="G15" s="59" t="s">
        <v>261</v>
      </c>
      <c r="H15" s="59" t="s">
        <v>263</v>
      </c>
      <c r="I15" s="67"/>
      <c r="J15" s="346" t="s">
        <v>909</v>
      </c>
      <c r="K15" s="68"/>
    </row>
    <row r="16" spans="3:11" ht="14">
      <c r="C16" s="55" t="s">
        <v>910</v>
      </c>
      <c r="D16" s="528" t="s">
        <v>911</v>
      </c>
      <c r="E16" s="528"/>
      <c r="F16" s="65"/>
      <c r="G16" s="528"/>
      <c r="H16" s="528"/>
      <c r="I16" s="65"/>
      <c r="J16" s="528"/>
      <c r="K16" s="529"/>
    </row>
    <row r="17" spans="3:11" ht="42">
      <c r="C17" s="58" t="s">
        <v>506</v>
      </c>
      <c r="D17" s="59" t="s">
        <v>912</v>
      </c>
      <c r="E17" s="59"/>
      <c r="F17" s="67"/>
      <c r="G17" s="59" t="s">
        <v>263</v>
      </c>
      <c r="H17" s="59" t="s">
        <v>263</v>
      </c>
      <c r="I17" s="67"/>
      <c r="J17" s="59" t="s">
        <v>913</v>
      </c>
      <c r="K17" s="68"/>
    </row>
    <row r="18" spans="3:11" ht="28">
      <c r="C18" s="58" t="s">
        <v>509</v>
      </c>
      <c r="D18" s="59" t="s">
        <v>914</v>
      </c>
      <c r="E18" s="59" t="s">
        <v>915</v>
      </c>
      <c r="F18" s="67"/>
      <c r="G18" s="59" t="s">
        <v>262</v>
      </c>
      <c r="H18" s="59" t="s">
        <v>262</v>
      </c>
      <c r="I18" s="67"/>
      <c r="J18" s="59"/>
      <c r="K18" s="68"/>
    </row>
    <row r="19" spans="3:11" ht="14">
      <c r="C19" s="58" t="s">
        <v>512</v>
      </c>
      <c r="D19" s="59" t="s">
        <v>916</v>
      </c>
      <c r="E19" s="59" t="s">
        <v>915</v>
      </c>
      <c r="F19" s="67"/>
      <c r="G19" s="59" t="s">
        <v>261</v>
      </c>
      <c r="H19" s="59" t="s">
        <v>261</v>
      </c>
      <c r="I19" s="67"/>
      <c r="J19" s="59"/>
      <c r="K19" s="68"/>
    </row>
    <row r="20" spans="3:11" ht="14">
      <c r="C20" s="58" t="s">
        <v>514</v>
      </c>
      <c r="D20" s="59" t="s">
        <v>917</v>
      </c>
      <c r="E20" s="59" t="s">
        <v>915</v>
      </c>
      <c r="F20" s="67"/>
      <c r="G20" s="59" t="s">
        <v>181</v>
      </c>
      <c r="H20" s="59" t="s">
        <v>230</v>
      </c>
      <c r="I20" s="67"/>
      <c r="J20" s="59"/>
      <c r="K20" s="68"/>
    </row>
    <row r="21" spans="3:11" ht="84">
      <c r="C21" s="58" t="s">
        <v>516</v>
      </c>
      <c r="D21" s="59" t="s">
        <v>918</v>
      </c>
      <c r="E21" s="59" t="s">
        <v>919</v>
      </c>
      <c r="F21" s="67"/>
      <c r="G21" s="59" t="s">
        <v>262</v>
      </c>
      <c r="H21" s="59" t="s">
        <v>263</v>
      </c>
      <c r="I21" s="67"/>
      <c r="J21" s="59"/>
      <c r="K21" s="347" t="s">
        <v>920</v>
      </c>
    </row>
    <row r="22" spans="3:11" ht="29.5">
      <c r="C22" s="58" t="s">
        <v>519</v>
      </c>
      <c r="D22" s="59" t="s">
        <v>921</v>
      </c>
      <c r="E22" s="59"/>
      <c r="F22" s="67"/>
      <c r="G22" s="59" t="s">
        <v>263</v>
      </c>
      <c r="H22" s="59" t="s">
        <v>922</v>
      </c>
      <c r="I22" s="67"/>
      <c r="J22" s="59"/>
      <c r="K22" s="68"/>
    </row>
    <row r="23" spans="3:11" ht="29.5">
      <c r="C23" s="58" t="s">
        <v>522</v>
      </c>
      <c r="D23" s="59" t="s">
        <v>923</v>
      </c>
      <c r="E23" s="59"/>
      <c r="F23" s="67"/>
      <c r="G23" s="59" t="s">
        <v>262</v>
      </c>
      <c r="H23" s="59" t="s">
        <v>922</v>
      </c>
      <c r="I23" s="67"/>
      <c r="J23" s="59"/>
      <c r="K23" s="68"/>
    </row>
    <row r="24" spans="3:11" ht="29.5">
      <c r="C24" s="58" t="s">
        <v>524</v>
      </c>
      <c r="D24" s="59" t="s">
        <v>924</v>
      </c>
      <c r="E24" s="59"/>
      <c r="F24" s="67"/>
      <c r="G24" s="59" t="s">
        <v>261</v>
      </c>
      <c r="H24" s="59" t="s">
        <v>922</v>
      </c>
      <c r="I24" s="67"/>
      <c r="J24" s="59"/>
      <c r="K24" s="68"/>
    </row>
    <row r="25" spans="3:11" ht="28">
      <c r="C25" s="58" t="s">
        <v>526</v>
      </c>
      <c r="D25" s="59" t="s">
        <v>925</v>
      </c>
      <c r="E25" s="59"/>
      <c r="F25" s="67"/>
      <c r="G25" s="59" t="s">
        <v>181</v>
      </c>
      <c r="H25" s="59" t="s">
        <v>922</v>
      </c>
      <c r="I25" s="67"/>
      <c r="J25" s="346" t="s">
        <v>926</v>
      </c>
      <c r="K25" s="68"/>
    </row>
    <row r="26" spans="3:11" ht="28">
      <c r="C26" s="58" t="s">
        <v>529</v>
      </c>
      <c r="D26" s="59" t="s">
        <v>927</v>
      </c>
      <c r="E26" s="346" t="s">
        <v>928</v>
      </c>
      <c r="F26" s="67"/>
      <c r="G26" s="59" t="s">
        <v>922</v>
      </c>
      <c r="H26" s="59" t="s">
        <v>263</v>
      </c>
      <c r="I26" s="67"/>
      <c r="J26" s="59"/>
      <c r="K26" s="68"/>
    </row>
    <row r="27" spans="3:11" ht="15.5">
      <c r="C27" s="58" t="s">
        <v>532</v>
      </c>
      <c r="D27" s="59" t="s">
        <v>929</v>
      </c>
      <c r="E27" s="346" t="s">
        <v>930</v>
      </c>
      <c r="F27" s="67"/>
      <c r="G27" s="59" t="s">
        <v>922</v>
      </c>
      <c r="H27" s="59" t="s">
        <v>262</v>
      </c>
      <c r="I27" s="67"/>
      <c r="J27" s="59"/>
      <c r="K27" s="68"/>
    </row>
    <row r="28" spans="3:11" ht="15.5">
      <c r="C28" s="58" t="s">
        <v>535</v>
      </c>
      <c r="D28" s="59" t="s">
        <v>931</v>
      </c>
      <c r="E28" s="346" t="s">
        <v>932</v>
      </c>
      <c r="F28" s="67"/>
      <c r="G28" s="59" t="s">
        <v>922</v>
      </c>
      <c r="H28" s="59" t="s">
        <v>261</v>
      </c>
      <c r="I28" s="67"/>
      <c r="J28" s="59"/>
      <c r="K28" s="68"/>
    </row>
    <row r="29" spans="3:11" ht="28">
      <c r="C29" s="58" t="s">
        <v>538</v>
      </c>
      <c r="D29" s="59" t="s">
        <v>933</v>
      </c>
      <c r="E29" s="346" t="s">
        <v>934</v>
      </c>
      <c r="F29" s="67"/>
      <c r="G29" s="59" t="s">
        <v>922</v>
      </c>
      <c r="H29" s="59" t="s">
        <v>181</v>
      </c>
      <c r="I29" s="67"/>
      <c r="J29" s="59"/>
      <c r="K29" s="68"/>
    </row>
    <row r="30" spans="3:11" ht="42">
      <c r="C30" s="58" t="s">
        <v>541</v>
      </c>
      <c r="D30" s="59" t="s">
        <v>935</v>
      </c>
      <c r="E30" s="346" t="s">
        <v>936</v>
      </c>
      <c r="F30" s="67"/>
      <c r="G30" s="59" t="s">
        <v>263</v>
      </c>
      <c r="H30" s="59" t="s">
        <v>922</v>
      </c>
      <c r="I30" s="67"/>
      <c r="J30" s="59"/>
      <c r="K30" s="68"/>
    </row>
    <row r="31" spans="3:11" ht="29.5">
      <c r="C31" s="58" t="s">
        <v>544</v>
      </c>
      <c r="D31" s="59" t="s">
        <v>937</v>
      </c>
      <c r="E31" s="346" t="s">
        <v>938</v>
      </c>
      <c r="F31" s="67"/>
      <c r="G31" s="59" t="s">
        <v>262</v>
      </c>
      <c r="H31" s="59" t="s">
        <v>922</v>
      </c>
      <c r="I31" s="67"/>
      <c r="J31" s="59"/>
      <c r="K31" s="68"/>
    </row>
    <row r="32" spans="3:11" ht="29.5">
      <c r="C32" s="58" t="s">
        <v>547</v>
      </c>
      <c r="D32" s="59" t="s">
        <v>939</v>
      </c>
      <c r="E32" s="346" t="s">
        <v>940</v>
      </c>
      <c r="F32" s="67"/>
      <c r="G32" s="59" t="s">
        <v>261</v>
      </c>
      <c r="H32" s="59" t="s">
        <v>922</v>
      </c>
      <c r="I32" s="67"/>
      <c r="J32" s="59"/>
      <c r="K32" s="68"/>
    </row>
    <row r="33" spans="3:11" ht="29.5">
      <c r="C33" s="58" t="s">
        <v>550</v>
      </c>
      <c r="D33" s="59" t="s">
        <v>941</v>
      </c>
      <c r="E33" s="59"/>
      <c r="F33" s="67"/>
      <c r="G33" s="59" t="s">
        <v>181</v>
      </c>
      <c r="H33" s="59" t="s">
        <v>922</v>
      </c>
      <c r="I33" s="67"/>
      <c r="J33" s="59"/>
      <c r="K33" s="68"/>
    </row>
    <row r="34" spans="3:11" ht="15.5">
      <c r="C34" s="58" t="s">
        <v>552</v>
      </c>
      <c r="D34" s="59" t="s">
        <v>942</v>
      </c>
      <c r="E34" s="346" t="s">
        <v>943</v>
      </c>
      <c r="F34" s="67"/>
      <c r="G34" s="59" t="s">
        <v>922</v>
      </c>
      <c r="H34" s="59" t="s">
        <v>263</v>
      </c>
      <c r="I34" s="67"/>
      <c r="J34" s="59"/>
      <c r="K34" s="68"/>
    </row>
    <row r="35" spans="3:11" ht="15.5">
      <c r="C35" s="58" t="s">
        <v>554</v>
      </c>
      <c r="D35" s="59" t="s">
        <v>944</v>
      </c>
      <c r="E35" s="59"/>
      <c r="F35" s="67"/>
      <c r="G35" s="59" t="s">
        <v>922</v>
      </c>
      <c r="H35" s="59" t="s">
        <v>262</v>
      </c>
      <c r="I35" s="67"/>
      <c r="J35" s="59"/>
      <c r="K35" s="68"/>
    </row>
    <row r="36" spans="3:11" ht="15.5">
      <c r="C36" s="58" t="s">
        <v>556</v>
      </c>
      <c r="D36" s="59" t="s">
        <v>945</v>
      </c>
      <c r="E36" s="59"/>
      <c r="F36" s="67"/>
      <c r="G36" s="59" t="s">
        <v>922</v>
      </c>
      <c r="H36" s="59" t="s">
        <v>261</v>
      </c>
      <c r="I36" s="67"/>
      <c r="J36" s="59"/>
      <c r="K36" s="68"/>
    </row>
    <row r="37" spans="3:11" ht="15.5">
      <c r="C37" s="58" t="s">
        <v>558</v>
      </c>
      <c r="D37" s="59" t="s">
        <v>946</v>
      </c>
      <c r="E37" s="346" t="s">
        <v>947</v>
      </c>
      <c r="F37" s="67"/>
      <c r="G37" s="59" t="s">
        <v>922</v>
      </c>
      <c r="H37" s="59" t="s">
        <v>181</v>
      </c>
      <c r="I37" s="67"/>
      <c r="J37" s="59"/>
      <c r="K37" s="68"/>
    </row>
    <row r="38" spans="3:11" ht="29.5">
      <c r="C38" s="56" t="s">
        <v>561</v>
      </c>
      <c r="D38" s="59" t="s">
        <v>948</v>
      </c>
      <c r="E38" s="59"/>
      <c r="F38" s="67"/>
      <c r="G38" s="59" t="s">
        <v>263</v>
      </c>
      <c r="H38" s="59" t="s">
        <v>922</v>
      </c>
      <c r="I38" s="67"/>
      <c r="J38" s="59"/>
      <c r="K38" s="68"/>
    </row>
    <row r="39" spans="3:11" ht="29.5">
      <c r="C39" s="58" t="s">
        <v>563</v>
      </c>
      <c r="D39" s="59" t="s">
        <v>949</v>
      </c>
      <c r="E39" s="59"/>
      <c r="F39" s="67"/>
      <c r="G39" s="59" t="s">
        <v>262</v>
      </c>
      <c r="H39" s="59" t="s">
        <v>922</v>
      </c>
      <c r="I39" s="67"/>
      <c r="J39" s="59"/>
      <c r="K39" s="68"/>
    </row>
    <row r="40" spans="3:11" ht="29.5">
      <c r="C40" s="58" t="s">
        <v>565</v>
      </c>
      <c r="D40" s="59" t="s">
        <v>950</v>
      </c>
      <c r="E40" s="59"/>
      <c r="F40" s="67"/>
      <c r="G40" s="59" t="s">
        <v>261</v>
      </c>
      <c r="H40" s="59" t="s">
        <v>922</v>
      </c>
      <c r="I40" s="67"/>
      <c r="J40" s="59"/>
      <c r="K40" s="68"/>
    </row>
    <row r="41" spans="3:11" ht="29.5">
      <c r="C41" s="58" t="s">
        <v>567</v>
      </c>
      <c r="D41" s="59" t="s">
        <v>951</v>
      </c>
      <c r="E41" s="59"/>
      <c r="F41" s="67"/>
      <c r="G41" s="59" t="s">
        <v>181</v>
      </c>
      <c r="H41" s="59" t="s">
        <v>922</v>
      </c>
      <c r="I41" s="67"/>
      <c r="J41" s="59"/>
      <c r="K41" s="68"/>
    </row>
    <row r="42" spans="3:11" ht="15.5">
      <c r="C42" s="58" t="s">
        <v>569</v>
      </c>
      <c r="D42" s="59" t="s">
        <v>952</v>
      </c>
      <c r="E42" s="59"/>
      <c r="F42" s="67"/>
      <c r="G42" s="59" t="s">
        <v>922</v>
      </c>
      <c r="H42" s="59" t="s">
        <v>263</v>
      </c>
      <c r="I42" s="67"/>
      <c r="J42" s="59"/>
      <c r="K42" s="68"/>
    </row>
    <row r="43" spans="3:11" ht="15.5">
      <c r="C43" s="58" t="s">
        <v>571</v>
      </c>
      <c r="D43" s="59" t="s">
        <v>953</v>
      </c>
      <c r="E43" s="59"/>
      <c r="F43" s="67"/>
      <c r="G43" s="59" t="s">
        <v>922</v>
      </c>
      <c r="H43" s="59" t="s">
        <v>262</v>
      </c>
      <c r="I43" s="67"/>
      <c r="J43" s="59"/>
      <c r="K43" s="68"/>
    </row>
    <row r="44" spans="3:11" ht="15.5">
      <c r="C44" s="58" t="s">
        <v>573</v>
      </c>
      <c r="D44" s="59" t="s">
        <v>954</v>
      </c>
      <c r="E44" s="59"/>
      <c r="F44" s="67"/>
      <c r="G44" s="59" t="s">
        <v>922</v>
      </c>
      <c r="H44" s="59" t="s">
        <v>261</v>
      </c>
      <c r="I44" s="67"/>
      <c r="J44" s="59"/>
      <c r="K44" s="68"/>
    </row>
    <row r="45" spans="3:11" ht="15.5">
      <c r="C45" s="58" t="s">
        <v>575</v>
      </c>
      <c r="D45" s="59" t="s">
        <v>955</v>
      </c>
      <c r="E45" s="59"/>
      <c r="F45" s="67"/>
      <c r="G45" s="59" t="s">
        <v>922</v>
      </c>
      <c r="H45" s="59" t="s">
        <v>181</v>
      </c>
      <c r="I45" s="67"/>
      <c r="J45" s="59"/>
      <c r="K45" s="68"/>
    </row>
    <row r="46" spans="3:11" ht="42">
      <c r="C46" s="58" t="s">
        <v>577</v>
      </c>
      <c r="D46" s="59" t="s">
        <v>578</v>
      </c>
      <c r="E46" s="59" t="s">
        <v>956</v>
      </c>
      <c r="F46" s="67"/>
      <c r="G46" s="59" t="s">
        <v>262</v>
      </c>
      <c r="H46" s="59" t="s">
        <v>263</v>
      </c>
      <c r="I46" s="67"/>
      <c r="J46" s="59"/>
      <c r="K46" s="68"/>
    </row>
    <row r="47" spans="3:11" ht="126">
      <c r="C47" s="58" t="s">
        <v>580</v>
      </c>
      <c r="D47" s="59" t="s">
        <v>581</v>
      </c>
      <c r="E47" s="346" t="s">
        <v>957</v>
      </c>
      <c r="F47" s="67"/>
      <c r="G47" s="59" t="s">
        <v>181</v>
      </c>
      <c r="H47" s="59" t="s">
        <v>261</v>
      </c>
      <c r="I47" s="67"/>
      <c r="J47" s="59"/>
      <c r="K47" s="68"/>
    </row>
    <row r="48" spans="3:11" ht="70">
      <c r="C48" s="58" t="s">
        <v>584</v>
      </c>
      <c r="D48" s="59" t="s">
        <v>958</v>
      </c>
      <c r="E48" s="59" t="s">
        <v>959</v>
      </c>
      <c r="F48" s="67"/>
      <c r="G48" s="59" t="s">
        <v>261</v>
      </c>
      <c r="H48" s="59" t="s">
        <v>262</v>
      </c>
      <c r="I48" s="67"/>
      <c r="J48" s="59" t="s">
        <v>960</v>
      </c>
      <c r="K48" s="68"/>
    </row>
    <row r="49" spans="3:11" ht="70">
      <c r="C49" s="58" t="s">
        <v>587</v>
      </c>
      <c r="D49" s="59" t="s">
        <v>961</v>
      </c>
      <c r="E49" s="346" t="s">
        <v>962</v>
      </c>
      <c r="F49" s="67"/>
      <c r="G49" s="59" t="s">
        <v>261</v>
      </c>
      <c r="H49" s="59" t="s">
        <v>263</v>
      </c>
      <c r="I49" s="67"/>
      <c r="J49" s="346" t="s">
        <v>963</v>
      </c>
      <c r="K49" s="68"/>
    </row>
    <row r="50" spans="3:11" ht="42">
      <c r="C50" s="58" t="s">
        <v>590</v>
      </c>
      <c r="D50" s="59" t="s">
        <v>964</v>
      </c>
      <c r="E50" s="59" t="s">
        <v>965</v>
      </c>
      <c r="F50" s="67"/>
      <c r="G50" s="59" t="s">
        <v>181</v>
      </c>
      <c r="H50" s="59" t="s">
        <v>261</v>
      </c>
      <c r="I50" s="67"/>
      <c r="J50" s="59" t="s">
        <v>966</v>
      </c>
      <c r="K50" s="68"/>
    </row>
    <row r="51" spans="3:11" ht="56">
      <c r="C51" s="58" t="s">
        <v>593</v>
      </c>
      <c r="D51" s="59" t="s">
        <v>967</v>
      </c>
      <c r="E51" s="59"/>
      <c r="F51" s="67"/>
      <c r="G51" s="59" t="s">
        <v>261</v>
      </c>
      <c r="H51" s="59" t="s">
        <v>263</v>
      </c>
      <c r="I51" s="67"/>
      <c r="J51" s="59" t="s">
        <v>968</v>
      </c>
      <c r="K51" s="68"/>
    </row>
    <row r="52" spans="3:11" ht="28">
      <c r="C52" s="58" t="s">
        <v>595</v>
      </c>
      <c r="D52" s="59" t="s">
        <v>969</v>
      </c>
      <c r="E52" s="59" t="s">
        <v>970</v>
      </c>
      <c r="F52" s="67"/>
      <c r="G52" s="59" t="s">
        <v>181</v>
      </c>
      <c r="H52" s="59" t="s">
        <v>181</v>
      </c>
      <c r="I52" s="67"/>
      <c r="J52" s="59"/>
      <c r="K52" s="68"/>
    </row>
    <row r="53" spans="3:11" ht="42">
      <c r="C53" s="58" t="s">
        <v>598</v>
      </c>
      <c r="D53" s="59" t="s">
        <v>971</v>
      </c>
      <c r="E53" s="346" t="s">
        <v>972</v>
      </c>
      <c r="F53" s="67"/>
      <c r="G53" s="59" t="s">
        <v>261</v>
      </c>
      <c r="H53" s="59" t="s">
        <v>262</v>
      </c>
      <c r="I53" s="67"/>
      <c r="J53" s="59"/>
      <c r="K53" s="68"/>
    </row>
    <row r="54" spans="3:11" ht="28">
      <c r="C54" s="58" t="s">
        <v>601</v>
      </c>
      <c r="D54" s="59" t="s">
        <v>602</v>
      </c>
      <c r="E54" s="59"/>
      <c r="F54" s="67"/>
      <c r="G54" s="59" t="s">
        <v>261</v>
      </c>
      <c r="H54" s="59" t="s">
        <v>263</v>
      </c>
      <c r="I54" s="67"/>
      <c r="J54" s="346" t="s">
        <v>973</v>
      </c>
      <c r="K54" s="68"/>
    </row>
    <row r="55" spans="3:11" ht="70">
      <c r="C55" s="58" t="s">
        <v>603</v>
      </c>
      <c r="D55" s="59" t="s">
        <v>604</v>
      </c>
      <c r="E55" s="59" t="s">
        <v>974</v>
      </c>
      <c r="F55" s="67"/>
      <c r="G55" s="59" t="s">
        <v>262</v>
      </c>
      <c r="H55" s="59" t="s">
        <v>263</v>
      </c>
      <c r="I55" s="67"/>
      <c r="J55" s="59" t="s">
        <v>975</v>
      </c>
      <c r="K55" s="68"/>
    </row>
    <row r="56" spans="3:11" ht="98">
      <c r="C56" s="58" t="s">
        <v>605</v>
      </c>
      <c r="D56" s="59" t="s">
        <v>976</v>
      </c>
      <c r="E56" s="346" t="s">
        <v>977</v>
      </c>
      <c r="F56" s="67"/>
      <c r="G56" s="59" t="s">
        <v>262</v>
      </c>
      <c r="H56" s="59" t="s">
        <v>263</v>
      </c>
      <c r="I56" s="67"/>
      <c r="J56" s="59" t="s">
        <v>978</v>
      </c>
      <c r="K56" s="68"/>
    </row>
    <row r="57" spans="3:11" ht="56">
      <c r="C57" s="58" t="s">
        <v>608</v>
      </c>
      <c r="D57" s="59" t="s">
        <v>979</v>
      </c>
      <c r="E57" s="59" t="s">
        <v>980</v>
      </c>
      <c r="F57" s="67"/>
      <c r="G57" s="59" t="s">
        <v>262</v>
      </c>
      <c r="H57" s="59" t="s">
        <v>263</v>
      </c>
      <c r="I57" s="67"/>
      <c r="J57" s="59" t="s">
        <v>981</v>
      </c>
      <c r="K57" s="68"/>
    </row>
    <row r="58" spans="3:11" ht="56">
      <c r="C58" s="58" t="s">
        <v>611</v>
      </c>
      <c r="D58" s="59" t="s">
        <v>982</v>
      </c>
      <c r="E58" s="59" t="s">
        <v>983</v>
      </c>
      <c r="F58" s="67"/>
      <c r="G58" s="59" t="s">
        <v>261</v>
      </c>
      <c r="H58" s="59" t="s">
        <v>262</v>
      </c>
      <c r="I58" s="67"/>
      <c r="J58" s="59" t="s">
        <v>984</v>
      </c>
      <c r="K58" s="68"/>
    </row>
    <row r="59" spans="3:11" ht="42">
      <c r="C59" s="58" t="s">
        <v>614</v>
      </c>
      <c r="D59" s="59" t="s">
        <v>985</v>
      </c>
      <c r="E59" s="346" t="s">
        <v>986</v>
      </c>
      <c r="F59" s="67"/>
      <c r="G59" s="59" t="s">
        <v>987</v>
      </c>
      <c r="H59" s="59" t="s">
        <v>987</v>
      </c>
      <c r="I59" s="67"/>
      <c r="J59" s="346" t="s">
        <v>988</v>
      </c>
      <c r="K59" s="68"/>
    </row>
    <row r="60" spans="3:11" ht="14">
      <c r="C60" s="69" t="s">
        <v>989</v>
      </c>
      <c r="D60" s="528" t="s">
        <v>990</v>
      </c>
      <c r="E60" s="528"/>
      <c r="F60" s="65"/>
      <c r="G60" s="528"/>
      <c r="H60" s="528"/>
      <c r="I60" s="65"/>
      <c r="J60" s="528"/>
      <c r="K60" s="529"/>
    </row>
    <row r="61" spans="3:11" ht="14">
      <c r="C61" s="58" t="s">
        <v>991</v>
      </c>
      <c r="D61" s="59" t="s">
        <v>992</v>
      </c>
      <c r="E61" s="59"/>
      <c r="F61" s="67"/>
      <c r="G61" s="59" t="s">
        <v>261</v>
      </c>
      <c r="H61" s="59" t="s">
        <v>262</v>
      </c>
      <c r="I61" s="67"/>
      <c r="J61" s="59"/>
      <c r="K61" s="68"/>
    </row>
    <row r="62" spans="3:11" ht="14">
      <c r="C62" s="58" t="s">
        <v>993</v>
      </c>
      <c r="D62" s="59" t="s">
        <v>994</v>
      </c>
      <c r="E62" s="59"/>
      <c r="F62" s="67"/>
      <c r="G62" s="59" t="s">
        <v>922</v>
      </c>
      <c r="H62" s="59" t="s">
        <v>263</v>
      </c>
      <c r="I62" s="67"/>
      <c r="J62" s="59"/>
      <c r="K62" s="68"/>
    </row>
    <row r="63" spans="3:11" ht="14">
      <c r="C63" s="58" t="s">
        <v>995</v>
      </c>
      <c r="D63" s="59" t="s">
        <v>996</v>
      </c>
      <c r="E63" s="59"/>
      <c r="F63" s="67"/>
      <c r="G63" s="59" t="s">
        <v>262</v>
      </c>
      <c r="H63" s="59" t="s">
        <v>262</v>
      </c>
      <c r="I63" s="67"/>
      <c r="J63" s="59"/>
      <c r="K63" s="68"/>
    </row>
    <row r="64" spans="3:11" ht="14">
      <c r="C64" s="58" t="s">
        <v>997</v>
      </c>
      <c r="D64" s="59" t="s">
        <v>998</v>
      </c>
      <c r="E64" s="59"/>
      <c r="F64" s="67"/>
      <c r="G64" s="59" t="s">
        <v>262</v>
      </c>
      <c r="H64" s="59" t="s">
        <v>262</v>
      </c>
      <c r="I64" s="67"/>
      <c r="J64" s="59"/>
      <c r="K64" s="68"/>
    </row>
    <row r="65" spans="3:11" ht="14">
      <c r="C65" s="69" t="s">
        <v>999</v>
      </c>
      <c r="D65" s="528" t="s">
        <v>1000</v>
      </c>
      <c r="E65" s="528"/>
      <c r="F65" s="65"/>
      <c r="G65" s="528"/>
      <c r="H65" s="528"/>
      <c r="I65" s="65"/>
      <c r="J65" s="528"/>
      <c r="K65" s="529"/>
    </row>
    <row r="66" spans="3:11" ht="56">
      <c r="C66" s="58" t="s">
        <v>1001</v>
      </c>
      <c r="D66" s="59" t="s">
        <v>1002</v>
      </c>
      <c r="E66" s="59"/>
      <c r="F66" s="67"/>
      <c r="G66" s="59" t="s">
        <v>922</v>
      </c>
      <c r="H66" s="59" t="s">
        <v>922</v>
      </c>
      <c r="I66" s="67"/>
      <c r="J66" s="59" t="s">
        <v>1003</v>
      </c>
      <c r="K66" s="68" t="s">
        <v>1004</v>
      </c>
    </row>
    <row r="67" spans="3:11" ht="56">
      <c r="C67" s="58" t="s">
        <v>1005</v>
      </c>
      <c r="D67" s="59" t="s">
        <v>1006</v>
      </c>
      <c r="E67" s="59"/>
      <c r="F67" s="67"/>
      <c r="G67" s="59" t="s">
        <v>922</v>
      </c>
      <c r="H67" s="59" t="s">
        <v>922</v>
      </c>
      <c r="I67" s="67"/>
      <c r="J67" s="59"/>
      <c r="K67" s="68" t="s">
        <v>1004</v>
      </c>
    </row>
    <row r="68" spans="3:11" ht="14">
      <c r="C68" s="69" t="s">
        <v>1007</v>
      </c>
      <c r="D68" s="528" t="s">
        <v>1008</v>
      </c>
      <c r="E68" s="528"/>
      <c r="F68" s="65"/>
      <c r="G68" s="528"/>
      <c r="H68" s="528"/>
      <c r="I68" s="65"/>
      <c r="J68" s="528"/>
      <c r="K68" s="529"/>
    </row>
    <row r="69" spans="3:11" ht="84">
      <c r="C69" s="58" t="s">
        <v>620</v>
      </c>
      <c r="D69" s="59" t="s">
        <v>1009</v>
      </c>
      <c r="E69" s="59" t="s">
        <v>1010</v>
      </c>
      <c r="F69" s="67"/>
      <c r="G69" s="59" t="s">
        <v>181</v>
      </c>
      <c r="H69" s="59" t="s">
        <v>261</v>
      </c>
      <c r="I69" s="67"/>
      <c r="J69" s="59" t="s">
        <v>1011</v>
      </c>
      <c r="K69" s="68"/>
    </row>
    <row r="70" spans="3:11" ht="126">
      <c r="C70" s="58" t="s">
        <v>623</v>
      </c>
      <c r="D70" s="59" t="s">
        <v>1012</v>
      </c>
      <c r="E70" s="346" t="s">
        <v>1013</v>
      </c>
      <c r="F70" s="67"/>
      <c r="G70" s="59" t="s">
        <v>262</v>
      </c>
      <c r="H70" s="59" t="s">
        <v>263</v>
      </c>
      <c r="I70" s="67"/>
      <c r="J70" s="59" t="s">
        <v>1014</v>
      </c>
      <c r="K70" s="68"/>
    </row>
    <row r="71" spans="3:11" ht="14">
      <c r="C71" s="58" t="s">
        <v>626</v>
      </c>
      <c r="D71" s="59" t="s">
        <v>1015</v>
      </c>
      <c r="E71" s="59"/>
      <c r="F71" s="67"/>
      <c r="G71" s="59" t="s">
        <v>263</v>
      </c>
      <c r="H71" s="59" t="s">
        <v>263</v>
      </c>
      <c r="I71" s="67"/>
      <c r="J71" s="59" t="s">
        <v>1014</v>
      </c>
      <c r="K71" s="68"/>
    </row>
    <row r="72" spans="3:11" ht="84">
      <c r="C72" s="58" t="s">
        <v>628</v>
      </c>
      <c r="D72" s="59" t="s">
        <v>1016</v>
      </c>
      <c r="E72" s="59" t="s">
        <v>1017</v>
      </c>
      <c r="F72" s="67"/>
      <c r="G72" s="59" t="s">
        <v>262</v>
      </c>
      <c r="H72" s="59" t="s">
        <v>262</v>
      </c>
      <c r="I72" s="67"/>
      <c r="J72" s="346" t="s">
        <v>1018</v>
      </c>
      <c r="K72" s="68"/>
    </row>
    <row r="73" spans="3:11" ht="98">
      <c r="C73" s="58" t="s">
        <v>630</v>
      </c>
      <c r="D73" s="59" t="s">
        <v>1019</v>
      </c>
      <c r="E73" s="59"/>
      <c r="F73" s="67"/>
      <c r="G73" s="59" t="s">
        <v>262</v>
      </c>
      <c r="H73" s="59" t="s">
        <v>263</v>
      </c>
      <c r="I73" s="67"/>
      <c r="J73" s="346" t="s">
        <v>1020</v>
      </c>
      <c r="K73" s="68"/>
    </row>
    <row r="74" spans="3:11" ht="98">
      <c r="C74" s="58" t="s">
        <v>633</v>
      </c>
      <c r="D74" s="59" t="s">
        <v>1021</v>
      </c>
      <c r="E74" s="59"/>
      <c r="F74" s="67"/>
      <c r="G74" s="59" t="s">
        <v>261</v>
      </c>
      <c r="H74" s="59" t="s">
        <v>262</v>
      </c>
      <c r="I74" s="67"/>
      <c r="J74" s="346" t="s">
        <v>1020</v>
      </c>
      <c r="K74" s="68"/>
    </row>
    <row r="75" spans="3:11" ht="98">
      <c r="C75" s="58" t="s">
        <v>635</v>
      </c>
      <c r="D75" s="59" t="s">
        <v>1022</v>
      </c>
      <c r="E75" s="59"/>
      <c r="F75" s="67"/>
      <c r="G75" s="59" t="s">
        <v>262</v>
      </c>
      <c r="H75" s="59" t="s">
        <v>263</v>
      </c>
      <c r="I75" s="67"/>
      <c r="J75" s="346" t="s">
        <v>1020</v>
      </c>
      <c r="K75" s="68"/>
    </row>
    <row r="76" spans="3:11" ht="42">
      <c r="C76" s="58" t="s">
        <v>637</v>
      </c>
      <c r="D76" s="59" t="s">
        <v>1023</v>
      </c>
      <c r="E76" s="59" t="s">
        <v>1024</v>
      </c>
      <c r="F76" s="67"/>
      <c r="G76" s="59" t="s">
        <v>262</v>
      </c>
      <c r="H76" s="59" t="s">
        <v>262</v>
      </c>
      <c r="I76" s="67"/>
      <c r="J76" s="59"/>
      <c r="K76" s="68"/>
    </row>
    <row r="77" spans="3:11" ht="42">
      <c r="C77" s="58" t="s">
        <v>639</v>
      </c>
      <c r="D77" s="59" t="s">
        <v>640</v>
      </c>
      <c r="E77" s="59" t="s">
        <v>1025</v>
      </c>
      <c r="F77" s="67"/>
      <c r="G77" s="59" t="s">
        <v>263</v>
      </c>
      <c r="H77" s="59" t="s">
        <v>263</v>
      </c>
      <c r="I77" s="67"/>
      <c r="J77" s="59"/>
      <c r="K77" s="68"/>
    </row>
    <row r="78" spans="3:11" ht="56">
      <c r="C78" s="58" t="s">
        <v>641</v>
      </c>
      <c r="D78" s="59" t="s">
        <v>1026</v>
      </c>
      <c r="E78" s="59" t="s">
        <v>1027</v>
      </c>
      <c r="F78" s="67"/>
      <c r="G78" s="59" t="s">
        <v>261</v>
      </c>
      <c r="H78" s="59" t="s">
        <v>261</v>
      </c>
      <c r="I78" s="67"/>
      <c r="J78" s="59" t="s">
        <v>1014</v>
      </c>
      <c r="K78" s="68"/>
    </row>
    <row r="79" spans="3:11" ht="37.5">
      <c r="C79" s="58" t="s">
        <v>643</v>
      </c>
      <c r="D79" s="59" t="s">
        <v>1028</v>
      </c>
      <c r="E79" s="70" t="s">
        <v>1029</v>
      </c>
      <c r="F79" s="67"/>
      <c r="G79" s="59" t="s">
        <v>181</v>
      </c>
      <c r="H79" s="59" t="s">
        <v>181</v>
      </c>
      <c r="I79" s="67"/>
      <c r="J79" s="59" t="s">
        <v>1014</v>
      </c>
      <c r="K79" s="68"/>
    </row>
    <row r="80" spans="3:11" ht="70">
      <c r="C80" s="58" t="s">
        <v>645</v>
      </c>
      <c r="D80" s="59" t="s">
        <v>1030</v>
      </c>
      <c r="E80" s="59" t="s">
        <v>1031</v>
      </c>
      <c r="F80" s="67"/>
      <c r="G80" s="59" t="s">
        <v>262</v>
      </c>
      <c r="H80" s="59" t="s">
        <v>262</v>
      </c>
      <c r="I80" s="67"/>
      <c r="J80" s="59" t="s">
        <v>1032</v>
      </c>
      <c r="K80" s="68"/>
    </row>
    <row r="81" spans="3:11" ht="70">
      <c r="C81" s="58" t="s">
        <v>648</v>
      </c>
      <c r="D81" s="59" t="s">
        <v>1033</v>
      </c>
      <c r="E81" s="59" t="s">
        <v>1031</v>
      </c>
      <c r="F81" s="67"/>
      <c r="G81" s="59" t="s">
        <v>261</v>
      </c>
      <c r="H81" s="59" t="s">
        <v>261</v>
      </c>
      <c r="I81" s="67"/>
      <c r="J81" s="59" t="s">
        <v>1032</v>
      </c>
      <c r="K81" s="68"/>
    </row>
    <row r="82" spans="3:11" ht="28">
      <c r="C82" s="58" t="s">
        <v>650</v>
      </c>
      <c r="D82" s="59" t="s">
        <v>1034</v>
      </c>
      <c r="E82" s="59" t="s">
        <v>1035</v>
      </c>
      <c r="F82" s="67"/>
      <c r="G82" s="59" t="s">
        <v>181</v>
      </c>
      <c r="H82" s="59" t="s">
        <v>181</v>
      </c>
      <c r="I82" s="67"/>
      <c r="J82" s="59" t="s">
        <v>1032</v>
      </c>
      <c r="K82" s="68"/>
    </row>
    <row r="83" spans="3:11" ht="70">
      <c r="C83" s="58" t="s">
        <v>652</v>
      </c>
      <c r="D83" s="59" t="s">
        <v>653</v>
      </c>
      <c r="E83" s="59" t="s">
        <v>1036</v>
      </c>
      <c r="F83" s="67"/>
      <c r="G83" s="59" t="s">
        <v>263</v>
      </c>
      <c r="H83" s="59" t="s">
        <v>263</v>
      </c>
      <c r="I83" s="67"/>
      <c r="J83" s="59"/>
      <c r="K83" s="68"/>
    </row>
    <row r="84" spans="3:11" ht="70">
      <c r="C84" s="58" t="s">
        <v>654</v>
      </c>
      <c r="D84" s="59" t="s">
        <v>1037</v>
      </c>
      <c r="E84" s="59" t="s">
        <v>1036</v>
      </c>
      <c r="F84" s="67"/>
      <c r="G84" s="59" t="s">
        <v>261</v>
      </c>
      <c r="H84" s="59" t="s">
        <v>262</v>
      </c>
      <c r="I84" s="67"/>
      <c r="J84" s="59"/>
      <c r="K84" s="68"/>
    </row>
    <row r="85" spans="3:11" ht="70">
      <c r="C85" s="58" t="s">
        <v>656</v>
      </c>
      <c r="D85" s="59" t="s">
        <v>1038</v>
      </c>
      <c r="E85" s="59" t="s">
        <v>1036</v>
      </c>
      <c r="F85" s="67"/>
      <c r="G85" s="59" t="s">
        <v>262</v>
      </c>
      <c r="H85" s="59" t="s">
        <v>263</v>
      </c>
      <c r="I85" s="67"/>
      <c r="J85" s="59" t="s">
        <v>1039</v>
      </c>
      <c r="K85" s="68"/>
    </row>
    <row r="86" spans="3:11" ht="14">
      <c r="C86" s="69" t="s">
        <v>1040</v>
      </c>
      <c r="D86" s="528" t="s">
        <v>1041</v>
      </c>
      <c r="E86" s="528"/>
      <c r="F86" s="65"/>
      <c r="G86" s="528"/>
      <c r="H86" s="528"/>
      <c r="I86" s="65"/>
      <c r="J86" s="528"/>
      <c r="K86" s="529"/>
    </row>
    <row r="87" spans="3:11" ht="28">
      <c r="C87" s="58" t="s">
        <v>662</v>
      </c>
      <c r="D87" s="59" t="s">
        <v>1042</v>
      </c>
      <c r="E87" s="59"/>
      <c r="F87" s="67"/>
      <c r="G87" s="59" t="s">
        <v>261</v>
      </c>
      <c r="H87" s="59" t="s">
        <v>263</v>
      </c>
      <c r="I87" s="67"/>
      <c r="J87" s="59" t="s">
        <v>1043</v>
      </c>
      <c r="K87" s="68"/>
    </row>
    <row r="88" spans="3:11" ht="28">
      <c r="C88" s="58" t="s">
        <v>665</v>
      </c>
      <c r="D88" s="59" t="s">
        <v>666</v>
      </c>
      <c r="E88" s="59"/>
      <c r="F88" s="67"/>
      <c r="G88" s="59" t="s">
        <v>261</v>
      </c>
      <c r="H88" s="59" t="s">
        <v>263</v>
      </c>
      <c r="I88" s="67"/>
      <c r="J88" s="346" t="s">
        <v>1044</v>
      </c>
      <c r="K88" s="68"/>
    </row>
    <row r="89" spans="3:11" ht="14">
      <c r="C89" s="69" t="s">
        <v>1045</v>
      </c>
      <c r="D89" s="528" t="s">
        <v>1046</v>
      </c>
      <c r="E89" s="528"/>
      <c r="F89" s="65"/>
      <c r="G89" s="528"/>
      <c r="H89" s="528"/>
      <c r="I89" s="65"/>
      <c r="J89" s="528"/>
      <c r="K89" s="529"/>
    </row>
    <row r="90" spans="3:11" ht="70">
      <c r="C90" s="58" t="s">
        <v>1047</v>
      </c>
      <c r="D90" s="59" t="s">
        <v>1048</v>
      </c>
      <c r="E90" s="59"/>
      <c r="F90" s="67"/>
      <c r="G90" s="59" t="s">
        <v>261</v>
      </c>
      <c r="H90" s="59" t="s">
        <v>262</v>
      </c>
      <c r="I90" s="67"/>
      <c r="J90" s="59" t="s">
        <v>1049</v>
      </c>
      <c r="K90" s="68"/>
    </row>
    <row r="91" spans="3:11" ht="42">
      <c r="C91" s="58" t="s">
        <v>1050</v>
      </c>
      <c r="D91" s="59" t="s">
        <v>1051</v>
      </c>
      <c r="E91" s="59"/>
      <c r="F91" s="67"/>
      <c r="G91" s="59" t="s">
        <v>261</v>
      </c>
      <c r="H91" s="59" t="s">
        <v>262</v>
      </c>
      <c r="I91" s="67"/>
      <c r="J91" s="346" t="s">
        <v>1052</v>
      </c>
      <c r="K91" s="68"/>
    </row>
    <row r="92" spans="3:11" ht="56">
      <c r="C92" s="58" t="s">
        <v>1053</v>
      </c>
      <c r="D92" s="59" t="s">
        <v>1054</v>
      </c>
      <c r="E92" s="59"/>
      <c r="F92" s="67"/>
      <c r="G92" s="59" t="s">
        <v>922</v>
      </c>
      <c r="H92" s="59" t="s">
        <v>922</v>
      </c>
      <c r="I92" s="67"/>
      <c r="J92" s="59" t="s">
        <v>1055</v>
      </c>
      <c r="K92" s="68" t="s">
        <v>1056</v>
      </c>
    </row>
    <row r="93" spans="3:11" ht="28">
      <c r="C93" s="58" t="s">
        <v>1057</v>
      </c>
      <c r="D93" s="59" t="s">
        <v>1058</v>
      </c>
      <c r="E93" s="59" t="s">
        <v>1059</v>
      </c>
      <c r="F93" s="67"/>
      <c r="G93" s="59" t="s">
        <v>263</v>
      </c>
      <c r="H93" s="59" t="s">
        <v>263</v>
      </c>
      <c r="I93" s="67"/>
      <c r="J93" s="59"/>
      <c r="K93" s="68"/>
    </row>
    <row r="94" spans="3:11" ht="56">
      <c r="C94" s="58" t="s">
        <v>1060</v>
      </c>
      <c r="D94" s="59" t="s">
        <v>1061</v>
      </c>
      <c r="E94" s="59" t="s">
        <v>1062</v>
      </c>
      <c r="F94" s="67"/>
      <c r="G94" s="59" t="s">
        <v>181</v>
      </c>
      <c r="H94" s="59" t="s">
        <v>261</v>
      </c>
      <c r="I94" s="67"/>
      <c r="J94" s="59"/>
      <c r="K94" s="68"/>
    </row>
    <row r="95" spans="3:11" ht="14">
      <c r="C95" s="58" t="s">
        <v>1063</v>
      </c>
      <c r="D95" s="59" t="s">
        <v>1064</v>
      </c>
      <c r="E95" s="346" t="s">
        <v>1065</v>
      </c>
      <c r="F95" s="67"/>
      <c r="G95" s="59" t="s">
        <v>261</v>
      </c>
      <c r="H95" s="59" t="s">
        <v>261</v>
      </c>
      <c r="I95" s="67"/>
      <c r="J95" s="59"/>
      <c r="K95" s="68"/>
    </row>
    <row r="96" spans="3:11" ht="70">
      <c r="C96" s="58" t="s">
        <v>1066</v>
      </c>
      <c r="D96" s="59" t="s">
        <v>1067</v>
      </c>
      <c r="E96" s="59" t="s">
        <v>1068</v>
      </c>
      <c r="F96" s="67"/>
      <c r="G96" s="59" t="s">
        <v>181</v>
      </c>
      <c r="H96" s="59" t="s">
        <v>181</v>
      </c>
      <c r="I96" s="67"/>
      <c r="J96" s="59"/>
      <c r="K96" s="68"/>
    </row>
    <row r="97" spans="3:11" ht="14">
      <c r="C97" s="69" t="s">
        <v>1069</v>
      </c>
      <c r="D97" s="528" t="s">
        <v>1070</v>
      </c>
      <c r="E97" s="528"/>
      <c r="F97" s="65"/>
      <c r="G97" s="528"/>
      <c r="H97" s="528"/>
      <c r="I97" s="65"/>
      <c r="J97" s="528"/>
      <c r="K97" s="529"/>
    </row>
    <row r="98" spans="3:11" ht="84">
      <c r="C98" s="58" t="s">
        <v>1071</v>
      </c>
      <c r="D98" s="59" t="s">
        <v>1072</v>
      </c>
      <c r="E98" s="59" t="s">
        <v>1073</v>
      </c>
      <c r="F98" s="67"/>
      <c r="G98" s="59" t="s">
        <v>181</v>
      </c>
      <c r="H98" s="59" t="s">
        <v>181</v>
      </c>
      <c r="I98" s="67"/>
      <c r="J98" s="346" t="s">
        <v>1074</v>
      </c>
      <c r="K98" s="68"/>
    </row>
    <row r="99" spans="3:11" ht="56">
      <c r="C99" s="58" t="s">
        <v>1075</v>
      </c>
      <c r="D99" s="59" t="s">
        <v>1076</v>
      </c>
      <c r="E99" s="59" t="s">
        <v>1077</v>
      </c>
      <c r="F99" s="67"/>
      <c r="G99" s="59" t="s">
        <v>230</v>
      </c>
      <c r="H99" s="59" t="s">
        <v>181</v>
      </c>
      <c r="I99" s="67"/>
      <c r="J99" s="346" t="s">
        <v>1078</v>
      </c>
      <c r="K99" s="68"/>
    </row>
    <row r="100" spans="3:11" ht="70">
      <c r="C100" s="58" t="s">
        <v>1079</v>
      </c>
      <c r="D100" s="59" t="s">
        <v>1080</v>
      </c>
      <c r="E100" s="59"/>
      <c r="F100" s="67"/>
      <c r="G100" s="59" t="s">
        <v>922</v>
      </c>
      <c r="H100" s="59" t="s">
        <v>181</v>
      </c>
      <c r="I100" s="67"/>
      <c r="J100" s="59" t="s">
        <v>1081</v>
      </c>
      <c r="K100" s="68"/>
    </row>
    <row r="101" spans="3:11" ht="112">
      <c r="C101" s="58" t="s">
        <v>1082</v>
      </c>
      <c r="D101" s="71" t="s">
        <v>1083</v>
      </c>
      <c r="E101" s="346" t="s">
        <v>1084</v>
      </c>
      <c r="F101" s="67"/>
      <c r="G101" s="59" t="s">
        <v>181</v>
      </c>
      <c r="H101" s="59" t="s">
        <v>261</v>
      </c>
      <c r="I101" s="67"/>
      <c r="J101" s="346" t="s">
        <v>1085</v>
      </c>
      <c r="K101" s="68"/>
    </row>
    <row r="102" spans="3:11" ht="28">
      <c r="C102" s="58" t="s">
        <v>1086</v>
      </c>
      <c r="D102" s="59" t="s">
        <v>1087</v>
      </c>
      <c r="E102" s="59"/>
      <c r="F102" s="67"/>
      <c r="G102" s="59" t="s">
        <v>181</v>
      </c>
      <c r="H102" s="59" t="s">
        <v>181</v>
      </c>
      <c r="I102" s="67"/>
      <c r="J102" s="59" t="s">
        <v>1088</v>
      </c>
      <c r="K102" s="68"/>
    </row>
    <row r="103" spans="3:11" ht="28">
      <c r="C103" s="58" t="s">
        <v>1089</v>
      </c>
      <c r="D103" s="59" t="s">
        <v>1090</v>
      </c>
      <c r="E103" s="59"/>
      <c r="F103" s="67"/>
      <c r="G103" s="59" t="s">
        <v>181</v>
      </c>
      <c r="H103" s="59" t="s">
        <v>181</v>
      </c>
      <c r="I103" s="67"/>
      <c r="J103" s="59" t="s">
        <v>1088</v>
      </c>
      <c r="K103" s="68"/>
    </row>
    <row r="104" spans="3:11" ht="42">
      <c r="C104" s="58" t="s">
        <v>1091</v>
      </c>
      <c r="D104" s="59" t="s">
        <v>1092</v>
      </c>
      <c r="E104" s="59" t="s">
        <v>1093</v>
      </c>
      <c r="F104" s="67"/>
      <c r="G104" s="59" t="s">
        <v>261</v>
      </c>
      <c r="H104" s="59" t="s">
        <v>262</v>
      </c>
      <c r="I104" s="67"/>
      <c r="J104" s="59"/>
      <c r="K104" s="68"/>
    </row>
    <row r="105" spans="3:11" ht="70">
      <c r="C105" s="58" t="s">
        <v>1094</v>
      </c>
      <c r="D105" s="59" t="s">
        <v>1095</v>
      </c>
      <c r="E105" s="59" t="s">
        <v>1096</v>
      </c>
      <c r="F105" s="67"/>
      <c r="G105" s="59" t="s">
        <v>922</v>
      </c>
      <c r="H105" s="59" t="s">
        <v>181</v>
      </c>
      <c r="I105" s="67"/>
      <c r="J105" s="59" t="s">
        <v>1097</v>
      </c>
      <c r="K105" s="68"/>
    </row>
    <row r="106" spans="3:11" ht="56">
      <c r="C106" s="58" t="s">
        <v>1098</v>
      </c>
      <c r="D106" s="59" t="s">
        <v>1099</v>
      </c>
      <c r="E106" s="59" t="s">
        <v>1100</v>
      </c>
      <c r="F106" s="67"/>
      <c r="G106" s="59" t="s">
        <v>261</v>
      </c>
      <c r="H106" s="59" t="s">
        <v>181</v>
      </c>
      <c r="I106" s="67"/>
      <c r="J106" s="346" t="s">
        <v>1101</v>
      </c>
      <c r="K106" s="68"/>
    </row>
    <row r="107" spans="3:11" ht="14">
      <c r="C107" s="58" t="s">
        <v>766</v>
      </c>
      <c r="D107" s="59" t="s">
        <v>1102</v>
      </c>
      <c r="E107" s="59"/>
      <c r="F107" s="67"/>
      <c r="G107" s="59" t="s">
        <v>181</v>
      </c>
      <c r="H107" s="59" t="s">
        <v>181</v>
      </c>
      <c r="I107" s="67"/>
      <c r="J107" s="59"/>
      <c r="K107" s="68"/>
    </row>
    <row r="108" spans="3:11" ht="14">
      <c r="C108" s="58" t="s">
        <v>1103</v>
      </c>
      <c r="D108" s="59" t="s">
        <v>1104</v>
      </c>
      <c r="E108" s="59"/>
      <c r="F108" s="67"/>
      <c r="G108" s="59" t="s">
        <v>181</v>
      </c>
      <c r="H108" s="59" t="s">
        <v>181</v>
      </c>
      <c r="I108" s="67"/>
      <c r="J108" s="59"/>
      <c r="K108" s="68"/>
    </row>
    <row r="109" spans="3:11" ht="112">
      <c r="C109" s="58" t="s">
        <v>1105</v>
      </c>
      <c r="D109" s="59" t="s">
        <v>1106</v>
      </c>
      <c r="E109" s="59" t="s">
        <v>1107</v>
      </c>
      <c r="F109" s="67"/>
      <c r="G109" s="59" t="s">
        <v>263</v>
      </c>
      <c r="H109" s="59" t="s">
        <v>262</v>
      </c>
      <c r="I109" s="67"/>
      <c r="J109" s="59"/>
      <c r="K109" s="68"/>
    </row>
    <row r="110" spans="3:11" ht="70">
      <c r="C110" s="58" t="s">
        <v>1108</v>
      </c>
      <c r="D110" s="59" t="s">
        <v>1109</v>
      </c>
      <c r="E110" s="59" t="s">
        <v>1110</v>
      </c>
      <c r="F110" s="67"/>
      <c r="G110" s="59" t="s">
        <v>181</v>
      </c>
      <c r="H110" s="59" t="s">
        <v>181</v>
      </c>
      <c r="I110" s="67"/>
      <c r="J110" s="59" t="s">
        <v>1111</v>
      </c>
      <c r="K110" s="68"/>
    </row>
    <row r="111" spans="3:11" ht="28">
      <c r="C111" s="58" t="s">
        <v>1112</v>
      </c>
      <c r="D111" s="59" t="s">
        <v>1113</v>
      </c>
      <c r="E111" s="59" t="s">
        <v>1114</v>
      </c>
      <c r="F111" s="67"/>
      <c r="G111" s="59" t="s">
        <v>261</v>
      </c>
      <c r="H111" s="59" t="s">
        <v>181</v>
      </c>
      <c r="I111" s="67"/>
      <c r="J111" s="59"/>
      <c r="K111" s="68"/>
    </row>
    <row r="112" spans="3:11" ht="14">
      <c r="C112" s="69" t="s">
        <v>1115</v>
      </c>
      <c r="D112" s="528" t="s">
        <v>1116</v>
      </c>
      <c r="E112" s="528"/>
      <c r="F112" s="65"/>
      <c r="G112" s="528"/>
      <c r="H112" s="528"/>
      <c r="I112" s="65"/>
      <c r="J112" s="528"/>
      <c r="K112" s="529"/>
    </row>
    <row r="113" spans="3:11" ht="28">
      <c r="C113" s="58" t="s">
        <v>1117</v>
      </c>
      <c r="D113" s="59" t="s">
        <v>1118</v>
      </c>
      <c r="E113" s="59"/>
      <c r="F113" s="67"/>
      <c r="G113" s="59" t="s">
        <v>263</v>
      </c>
      <c r="H113" s="59" t="s">
        <v>263</v>
      </c>
      <c r="I113" s="67"/>
      <c r="J113" s="59" t="s">
        <v>1119</v>
      </c>
      <c r="K113" s="68"/>
    </row>
    <row r="114" spans="3:11" ht="42">
      <c r="C114" s="58" t="s">
        <v>1120</v>
      </c>
      <c r="D114" s="59" t="s">
        <v>1121</v>
      </c>
      <c r="E114" s="59" t="s">
        <v>1122</v>
      </c>
      <c r="F114" s="67"/>
      <c r="G114" s="59" t="s">
        <v>263</v>
      </c>
      <c r="H114" s="59" t="s">
        <v>263</v>
      </c>
      <c r="I114" s="67"/>
      <c r="J114" s="59" t="s">
        <v>1123</v>
      </c>
      <c r="K114" s="68"/>
    </row>
    <row r="115" spans="3:11" ht="56">
      <c r="C115" s="58" t="s">
        <v>1124</v>
      </c>
      <c r="D115" s="59" t="s">
        <v>1125</v>
      </c>
      <c r="E115" s="59"/>
      <c r="F115" s="67"/>
      <c r="G115" s="59" t="s">
        <v>262</v>
      </c>
      <c r="H115" s="59" t="s">
        <v>262</v>
      </c>
      <c r="I115" s="67"/>
      <c r="J115" s="72"/>
      <c r="K115" s="348" t="s">
        <v>1126</v>
      </c>
    </row>
    <row r="116" spans="3:11" ht="98">
      <c r="C116" s="58" t="s">
        <v>1127</v>
      </c>
      <c r="D116" s="59" t="s">
        <v>1128</v>
      </c>
      <c r="E116" s="59"/>
      <c r="F116" s="67"/>
      <c r="G116" s="59" t="s">
        <v>262</v>
      </c>
      <c r="H116" s="59" t="s">
        <v>262</v>
      </c>
      <c r="I116" s="67"/>
      <c r="J116" s="72"/>
      <c r="K116" s="72" t="s">
        <v>1129</v>
      </c>
    </row>
    <row r="117" spans="3:11" ht="56">
      <c r="C117" s="58" t="s">
        <v>1130</v>
      </c>
      <c r="D117" s="59" t="s">
        <v>1131</v>
      </c>
      <c r="E117" s="59"/>
      <c r="F117" s="67"/>
      <c r="G117" s="59" t="s">
        <v>262</v>
      </c>
      <c r="H117" s="59" t="s">
        <v>262</v>
      </c>
      <c r="I117" s="67"/>
      <c r="J117" s="59"/>
      <c r="K117" s="68" t="s">
        <v>1126</v>
      </c>
    </row>
    <row r="118" spans="3:11" ht="84">
      <c r="C118" s="58" t="s">
        <v>1132</v>
      </c>
      <c r="D118" s="59" t="s">
        <v>1133</v>
      </c>
      <c r="E118" s="346" t="s">
        <v>1134</v>
      </c>
      <c r="F118" s="67"/>
      <c r="G118" s="59" t="s">
        <v>261</v>
      </c>
      <c r="H118" s="59" t="s">
        <v>261</v>
      </c>
      <c r="I118" s="67"/>
      <c r="J118" s="59"/>
      <c r="K118" s="68"/>
    </row>
    <row r="119" spans="3:11" ht="28">
      <c r="C119" s="58" t="s">
        <v>1135</v>
      </c>
      <c r="D119" s="59" t="s">
        <v>1136</v>
      </c>
      <c r="E119" s="346" t="s">
        <v>1137</v>
      </c>
      <c r="F119" s="67"/>
      <c r="G119" s="59" t="s">
        <v>263</v>
      </c>
      <c r="H119" s="59" t="s">
        <v>263</v>
      </c>
      <c r="I119" s="67"/>
      <c r="J119" s="59" t="s">
        <v>1138</v>
      </c>
      <c r="K119" s="68"/>
    </row>
    <row r="120" spans="3:11" ht="56">
      <c r="C120" s="58" t="s">
        <v>1139</v>
      </c>
      <c r="D120" s="59" t="s">
        <v>1140</v>
      </c>
      <c r="E120" s="346" t="s">
        <v>1141</v>
      </c>
      <c r="F120" s="67"/>
      <c r="G120" s="59" t="s">
        <v>262</v>
      </c>
      <c r="H120" s="59" t="s">
        <v>262</v>
      </c>
      <c r="I120" s="67"/>
      <c r="J120" s="59" t="s">
        <v>1138</v>
      </c>
      <c r="K120" s="68"/>
    </row>
    <row r="121" spans="3:11" ht="84">
      <c r="C121" s="58" t="s">
        <v>1142</v>
      </c>
      <c r="D121" s="59" t="s">
        <v>1143</v>
      </c>
      <c r="E121" s="59" t="s">
        <v>1144</v>
      </c>
      <c r="F121" s="67"/>
      <c r="G121" s="59" t="s">
        <v>261</v>
      </c>
      <c r="H121" s="59" t="s">
        <v>261</v>
      </c>
      <c r="I121" s="67"/>
      <c r="J121" s="346" t="s">
        <v>1145</v>
      </c>
      <c r="K121" s="68"/>
    </row>
    <row r="122" spans="3:11" ht="42">
      <c r="C122" s="58" t="s">
        <v>1146</v>
      </c>
      <c r="D122" s="59" t="s">
        <v>1147</v>
      </c>
      <c r="E122" s="59" t="s">
        <v>1148</v>
      </c>
      <c r="F122" s="67"/>
      <c r="G122" s="59" t="s">
        <v>181</v>
      </c>
      <c r="H122" s="59" t="s">
        <v>181</v>
      </c>
      <c r="I122" s="67"/>
      <c r="J122" s="59" t="s">
        <v>1149</v>
      </c>
      <c r="K122" s="68"/>
    </row>
    <row r="123" spans="3:11" ht="126">
      <c r="C123" s="58" t="s">
        <v>1150</v>
      </c>
      <c r="D123" s="59" t="s">
        <v>1151</v>
      </c>
      <c r="E123" s="59" t="s">
        <v>1152</v>
      </c>
      <c r="F123" s="67"/>
      <c r="G123" s="59" t="s">
        <v>262</v>
      </c>
      <c r="H123" s="59" t="s">
        <v>262</v>
      </c>
      <c r="I123" s="67"/>
      <c r="J123" s="346" t="s">
        <v>1153</v>
      </c>
      <c r="K123" s="68"/>
    </row>
    <row r="124" spans="3:11" ht="70">
      <c r="C124" s="58" t="s">
        <v>1154</v>
      </c>
      <c r="D124" s="59" t="s">
        <v>1155</v>
      </c>
      <c r="E124" s="59" t="s">
        <v>1156</v>
      </c>
      <c r="F124" s="67"/>
      <c r="G124" s="59" t="s">
        <v>181</v>
      </c>
      <c r="H124" s="59" t="s">
        <v>181</v>
      </c>
      <c r="I124" s="67"/>
      <c r="J124" s="346" t="s">
        <v>1157</v>
      </c>
      <c r="K124" s="68"/>
    </row>
    <row r="125" spans="3:11" ht="56">
      <c r="C125" s="58" t="s">
        <v>1158</v>
      </c>
      <c r="D125" s="59" t="s">
        <v>1159</v>
      </c>
      <c r="E125" s="346" t="s">
        <v>1160</v>
      </c>
      <c r="F125" s="67"/>
      <c r="G125" s="59" t="s">
        <v>261</v>
      </c>
      <c r="H125" s="59" t="s">
        <v>261</v>
      </c>
      <c r="I125" s="67"/>
      <c r="J125" s="59" t="s">
        <v>1161</v>
      </c>
      <c r="K125" s="68"/>
    </row>
    <row r="126" spans="3:11" ht="56">
      <c r="C126" s="58" t="s">
        <v>1162</v>
      </c>
      <c r="D126" s="59" t="s">
        <v>1163</v>
      </c>
      <c r="E126" s="59" t="s">
        <v>1164</v>
      </c>
      <c r="F126" s="67"/>
      <c r="G126" s="59" t="s">
        <v>261</v>
      </c>
      <c r="H126" s="59" t="s">
        <v>262</v>
      </c>
      <c r="I126" s="67"/>
      <c r="J126" s="59"/>
      <c r="K126" s="68"/>
    </row>
    <row r="127" spans="3:11" ht="42">
      <c r="C127" s="58" t="s">
        <v>1165</v>
      </c>
      <c r="D127" s="59" t="s">
        <v>1166</v>
      </c>
      <c r="E127" s="59"/>
      <c r="F127" s="67"/>
      <c r="G127" s="59" t="s">
        <v>181</v>
      </c>
      <c r="H127" s="59" t="s">
        <v>230</v>
      </c>
      <c r="I127" s="67"/>
      <c r="J127" s="59"/>
      <c r="K127" s="68"/>
    </row>
    <row r="128" spans="3:11" ht="28">
      <c r="C128" s="58" t="s">
        <v>1167</v>
      </c>
      <c r="D128" s="59" t="s">
        <v>1168</v>
      </c>
      <c r="E128" s="59" t="s">
        <v>1169</v>
      </c>
      <c r="F128" s="67"/>
      <c r="G128" s="59" t="s">
        <v>181</v>
      </c>
      <c r="H128" s="59" t="s">
        <v>181</v>
      </c>
      <c r="I128" s="67"/>
      <c r="J128" s="59"/>
      <c r="K128" s="68"/>
    </row>
    <row r="129" spans="3:11" ht="56">
      <c r="C129" s="58" t="s">
        <v>1170</v>
      </c>
      <c r="D129" s="59" t="s">
        <v>1171</v>
      </c>
      <c r="E129" s="59" t="s">
        <v>1172</v>
      </c>
      <c r="F129" s="67"/>
      <c r="G129" s="59" t="s">
        <v>181</v>
      </c>
      <c r="H129" s="59" t="s">
        <v>181</v>
      </c>
      <c r="I129" s="67"/>
      <c r="J129" s="59" t="s">
        <v>1173</v>
      </c>
      <c r="K129" s="68"/>
    </row>
    <row r="130" spans="3:11" ht="56">
      <c r="C130" s="58" t="s">
        <v>1174</v>
      </c>
      <c r="D130" s="59" t="s">
        <v>1175</v>
      </c>
      <c r="E130" s="59" t="s">
        <v>1176</v>
      </c>
      <c r="F130" s="67"/>
      <c r="G130" s="59" t="s">
        <v>261</v>
      </c>
      <c r="H130" s="59" t="s">
        <v>261</v>
      </c>
      <c r="I130" s="67"/>
      <c r="J130" s="59" t="s">
        <v>1177</v>
      </c>
      <c r="K130" s="68"/>
    </row>
    <row r="131" spans="3:11" ht="56">
      <c r="C131" s="58" t="s">
        <v>1178</v>
      </c>
      <c r="D131" s="59" t="s">
        <v>1179</v>
      </c>
      <c r="E131" s="59" t="s">
        <v>1180</v>
      </c>
      <c r="F131" s="67"/>
      <c r="G131" s="59" t="s">
        <v>181</v>
      </c>
      <c r="H131" s="59" t="s">
        <v>261</v>
      </c>
      <c r="I131" s="67"/>
      <c r="J131" s="346" t="s">
        <v>1181</v>
      </c>
      <c r="K131" s="68"/>
    </row>
    <row r="132" spans="3:11" ht="14">
      <c r="C132" s="523" t="s">
        <v>1182</v>
      </c>
      <c r="D132" s="524"/>
      <c r="E132" s="524"/>
      <c r="F132" s="65"/>
      <c r="G132" s="525"/>
      <c r="H132" s="525"/>
      <c r="I132" s="65"/>
      <c r="J132" s="530"/>
      <c r="K132" s="531"/>
    </row>
    <row r="133" spans="3:11" ht="14">
      <c r="C133" s="55" t="s">
        <v>1183</v>
      </c>
      <c r="D133" s="528" t="s">
        <v>1184</v>
      </c>
      <c r="E133" s="528"/>
      <c r="F133" s="65"/>
      <c r="G133" s="528"/>
      <c r="H133" s="528"/>
      <c r="I133" s="65"/>
      <c r="J133" s="528"/>
      <c r="K133" s="529"/>
    </row>
    <row r="134" spans="3:11" ht="28">
      <c r="C134" s="58" t="s">
        <v>393</v>
      </c>
      <c r="D134" s="59" t="s">
        <v>1185</v>
      </c>
      <c r="E134" s="59"/>
      <c r="F134" s="67"/>
      <c r="G134" s="59" t="s">
        <v>261</v>
      </c>
      <c r="H134" s="59" t="s">
        <v>262</v>
      </c>
      <c r="I134" s="67"/>
      <c r="J134" s="59"/>
      <c r="K134" s="68"/>
    </row>
    <row r="135" spans="3:11" ht="14">
      <c r="C135" s="58" t="s">
        <v>396</v>
      </c>
      <c r="D135" s="59" t="s">
        <v>1186</v>
      </c>
      <c r="E135" s="59"/>
      <c r="F135" s="67"/>
      <c r="G135" s="59" t="s">
        <v>262</v>
      </c>
      <c r="H135" s="59" t="s">
        <v>263</v>
      </c>
      <c r="I135" s="67"/>
      <c r="J135" s="59"/>
      <c r="K135" s="68"/>
    </row>
    <row r="136" spans="3:11" ht="14">
      <c r="C136" s="58" t="s">
        <v>399</v>
      </c>
      <c r="D136" s="59" t="s">
        <v>1187</v>
      </c>
      <c r="E136" s="60"/>
      <c r="F136" s="67"/>
      <c r="G136" s="59" t="s">
        <v>263</v>
      </c>
      <c r="H136" s="59" t="s">
        <v>263</v>
      </c>
      <c r="I136" s="67"/>
      <c r="J136" s="59"/>
      <c r="K136" s="68"/>
    </row>
    <row r="137" spans="3:11" ht="28">
      <c r="C137" s="58" t="s">
        <v>402</v>
      </c>
      <c r="D137" s="59" t="s">
        <v>1188</v>
      </c>
      <c r="E137" s="59"/>
      <c r="F137" s="67"/>
      <c r="G137" s="59" t="s">
        <v>263</v>
      </c>
      <c r="H137" s="59" t="s">
        <v>263</v>
      </c>
      <c r="I137" s="67"/>
      <c r="J137" s="59"/>
      <c r="K137" s="68"/>
    </row>
    <row r="138" spans="3:11" ht="14">
      <c r="C138" s="58" t="s">
        <v>405</v>
      </c>
      <c r="D138" s="59" t="s">
        <v>1189</v>
      </c>
      <c r="E138" s="59"/>
      <c r="F138" s="67"/>
      <c r="G138" s="59" t="s">
        <v>263</v>
      </c>
      <c r="H138" s="59" t="s">
        <v>263</v>
      </c>
      <c r="I138" s="67"/>
      <c r="J138" s="59"/>
      <c r="K138" s="68"/>
    </row>
    <row r="139" spans="3:11" ht="14">
      <c r="C139" s="58" t="s">
        <v>408</v>
      </c>
      <c r="D139" s="59" t="s">
        <v>1190</v>
      </c>
      <c r="E139" s="59"/>
      <c r="F139" s="67"/>
      <c r="G139" s="59" t="s">
        <v>263</v>
      </c>
      <c r="H139" s="59" t="s">
        <v>262</v>
      </c>
      <c r="I139" s="67"/>
      <c r="J139" s="59"/>
      <c r="K139" s="68"/>
    </row>
    <row r="140" spans="3:11" ht="56">
      <c r="C140" s="58" t="s">
        <v>411</v>
      </c>
      <c r="D140" s="59" t="s">
        <v>1191</v>
      </c>
      <c r="E140" s="59"/>
      <c r="F140" s="67"/>
      <c r="G140" s="59" t="s">
        <v>261</v>
      </c>
      <c r="H140" s="59" t="s">
        <v>262</v>
      </c>
      <c r="I140" s="67"/>
      <c r="J140" s="59" t="s">
        <v>1192</v>
      </c>
      <c r="K140" s="68"/>
    </row>
    <row r="141" spans="3:11" ht="70">
      <c r="C141" s="58" t="s">
        <v>413</v>
      </c>
      <c r="D141" s="59" t="s">
        <v>1193</v>
      </c>
      <c r="E141" s="59"/>
      <c r="F141" s="67"/>
      <c r="G141" s="59" t="s">
        <v>261</v>
      </c>
      <c r="H141" s="59" t="s">
        <v>262</v>
      </c>
      <c r="I141" s="67"/>
      <c r="J141" s="59" t="s">
        <v>1194</v>
      </c>
      <c r="K141" s="68"/>
    </row>
    <row r="142" spans="3:11" ht="28">
      <c r="C142" s="58" t="s">
        <v>415</v>
      </c>
      <c r="D142" s="59" t="s">
        <v>1195</v>
      </c>
      <c r="E142" s="59"/>
      <c r="F142" s="67"/>
      <c r="G142" s="59" t="s">
        <v>261</v>
      </c>
      <c r="H142" s="59" t="s">
        <v>262</v>
      </c>
      <c r="I142" s="67"/>
      <c r="J142" s="59"/>
      <c r="K142" s="68"/>
    </row>
    <row r="143" spans="3:11" ht="42">
      <c r="C143" s="58" t="s">
        <v>417</v>
      </c>
      <c r="D143" s="59" t="s">
        <v>1196</v>
      </c>
      <c r="E143" s="59"/>
      <c r="F143" s="67"/>
      <c r="G143" s="59" t="s">
        <v>261</v>
      </c>
      <c r="H143" s="59" t="s">
        <v>261</v>
      </c>
      <c r="I143" s="67"/>
      <c r="J143" s="59" t="s">
        <v>1197</v>
      </c>
      <c r="K143" s="68"/>
    </row>
    <row r="144" spans="3:11" ht="56">
      <c r="C144" s="58" t="s">
        <v>419</v>
      </c>
      <c r="D144" s="59" t="s">
        <v>1198</v>
      </c>
      <c r="E144" s="59"/>
      <c r="F144" s="67"/>
      <c r="G144" s="59" t="s">
        <v>261</v>
      </c>
      <c r="H144" s="59" t="s">
        <v>262</v>
      </c>
      <c r="I144" s="67"/>
      <c r="J144" s="346" t="s">
        <v>1199</v>
      </c>
      <c r="K144" s="68"/>
    </row>
    <row r="145" spans="3:11" ht="56">
      <c r="C145" s="58" t="s">
        <v>421</v>
      </c>
      <c r="D145" s="59" t="s">
        <v>1200</v>
      </c>
      <c r="E145" s="59"/>
      <c r="F145" s="67"/>
      <c r="G145" s="59" t="s">
        <v>261</v>
      </c>
      <c r="H145" s="59" t="s">
        <v>262</v>
      </c>
      <c r="I145" s="67"/>
      <c r="J145" s="59" t="s">
        <v>1201</v>
      </c>
      <c r="K145" s="68"/>
    </row>
    <row r="146" spans="3:11" ht="140">
      <c r="C146" s="58" t="s">
        <v>423</v>
      </c>
      <c r="D146" s="59" t="s">
        <v>1202</v>
      </c>
      <c r="E146" s="59"/>
      <c r="F146" s="67"/>
      <c r="G146" s="59" t="s">
        <v>261</v>
      </c>
      <c r="H146" s="59" t="s">
        <v>261</v>
      </c>
      <c r="I146" s="67"/>
      <c r="J146" s="59" t="s">
        <v>1203</v>
      </c>
      <c r="K146" s="68"/>
    </row>
    <row r="147" spans="3:11" ht="42">
      <c r="C147" s="58" t="s">
        <v>425</v>
      </c>
      <c r="D147" s="59" t="s">
        <v>1204</v>
      </c>
      <c r="E147" s="59" t="s">
        <v>1205</v>
      </c>
      <c r="F147" s="67"/>
      <c r="G147" s="59" t="s">
        <v>261</v>
      </c>
      <c r="H147" s="59" t="s">
        <v>262</v>
      </c>
      <c r="I147" s="67"/>
      <c r="J147" s="59"/>
      <c r="K147" s="68"/>
    </row>
    <row r="148" spans="3:11" ht="14">
      <c r="C148" s="58" t="s">
        <v>427</v>
      </c>
      <c r="D148" s="59" t="s">
        <v>1206</v>
      </c>
      <c r="E148" s="59"/>
      <c r="F148" s="67"/>
      <c r="G148" s="59" t="s">
        <v>261</v>
      </c>
      <c r="H148" s="59" t="s">
        <v>261</v>
      </c>
      <c r="I148" s="67"/>
      <c r="J148" s="59"/>
      <c r="K148" s="68"/>
    </row>
    <row r="149" spans="3:11" ht="28">
      <c r="C149" s="58" t="s">
        <v>429</v>
      </c>
      <c r="D149" s="59" t="s">
        <v>1207</v>
      </c>
      <c r="E149" s="59"/>
      <c r="F149" s="67"/>
      <c r="G149" s="59" t="s">
        <v>262</v>
      </c>
      <c r="H149" s="59" t="s">
        <v>263</v>
      </c>
      <c r="I149" s="67"/>
      <c r="J149" s="59" t="s">
        <v>1208</v>
      </c>
      <c r="K149" s="68"/>
    </row>
    <row r="150" spans="3:11" ht="28">
      <c r="C150" s="58" t="s">
        <v>431</v>
      </c>
      <c r="D150" s="59" t="s">
        <v>1209</v>
      </c>
      <c r="E150" s="59"/>
      <c r="F150" s="67"/>
      <c r="G150" s="59" t="s">
        <v>262</v>
      </c>
      <c r="H150" s="59" t="s">
        <v>262</v>
      </c>
      <c r="I150" s="67"/>
      <c r="J150" s="59"/>
      <c r="K150" s="68"/>
    </row>
    <row r="151" spans="3:11" ht="28">
      <c r="C151" s="58" t="s">
        <v>433</v>
      </c>
      <c r="D151" s="59" t="s">
        <v>1210</v>
      </c>
      <c r="E151" s="59"/>
      <c r="F151" s="67"/>
      <c r="G151" s="59" t="s">
        <v>261</v>
      </c>
      <c r="H151" s="59" t="s">
        <v>181</v>
      </c>
      <c r="I151" s="67"/>
      <c r="J151" s="59"/>
      <c r="K151" s="68"/>
    </row>
    <row r="152" spans="3:11" ht="14">
      <c r="C152" s="58" t="s">
        <v>435</v>
      </c>
      <c r="D152" s="59" t="s">
        <v>1211</v>
      </c>
      <c r="E152" s="59"/>
      <c r="F152" s="67"/>
      <c r="G152" s="59" t="s">
        <v>181</v>
      </c>
      <c r="H152" s="59" t="s">
        <v>262</v>
      </c>
      <c r="I152" s="67"/>
      <c r="J152" s="59"/>
      <c r="K152" s="68"/>
    </row>
    <row r="153" spans="3:11" ht="56">
      <c r="C153" s="58" t="s">
        <v>437</v>
      </c>
      <c r="D153" s="59" t="s">
        <v>1212</v>
      </c>
      <c r="E153" s="346" t="s">
        <v>1213</v>
      </c>
      <c r="F153" s="67"/>
      <c r="G153" s="59" t="s">
        <v>261</v>
      </c>
      <c r="H153" s="59" t="s">
        <v>262</v>
      </c>
      <c r="I153" s="67"/>
      <c r="J153" s="59" t="s">
        <v>1214</v>
      </c>
      <c r="K153" s="68"/>
    </row>
    <row r="154" spans="3:11" ht="28">
      <c r="C154" s="58" t="s">
        <v>440</v>
      </c>
      <c r="D154" s="59" t="s">
        <v>1215</v>
      </c>
      <c r="E154" s="59"/>
      <c r="F154" s="67"/>
      <c r="G154" s="59" t="s">
        <v>261</v>
      </c>
      <c r="H154" s="59" t="s">
        <v>181</v>
      </c>
      <c r="I154" s="67"/>
      <c r="J154" s="59" t="s">
        <v>1216</v>
      </c>
      <c r="K154" s="68"/>
    </row>
    <row r="155" spans="3:11" ht="14">
      <c r="C155" s="55" t="s">
        <v>1217</v>
      </c>
      <c r="D155" s="528" t="s">
        <v>1218</v>
      </c>
      <c r="E155" s="528"/>
      <c r="F155" s="65"/>
      <c r="G155" s="528"/>
      <c r="H155" s="528"/>
      <c r="I155" s="65"/>
      <c r="J155" s="528"/>
      <c r="K155" s="529"/>
    </row>
    <row r="156" spans="3:11" ht="28">
      <c r="C156" s="58" t="s">
        <v>446</v>
      </c>
      <c r="D156" s="59" t="s">
        <v>1219</v>
      </c>
      <c r="E156" s="59"/>
      <c r="F156" s="67"/>
      <c r="G156" s="59" t="s">
        <v>263</v>
      </c>
      <c r="H156" s="59" t="s">
        <v>263</v>
      </c>
      <c r="I156" s="67"/>
      <c r="J156" s="59"/>
      <c r="K156" s="68"/>
    </row>
    <row r="157" spans="3:11" ht="28">
      <c r="C157" s="58" t="s">
        <v>448</v>
      </c>
      <c r="D157" s="59" t="s">
        <v>1220</v>
      </c>
      <c r="E157" s="59"/>
      <c r="F157" s="67"/>
      <c r="G157" s="59" t="s">
        <v>262</v>
      </c>
      <c r="H157" s="59" t="s">
        <v>263</v>
      </c>
      <c r="I157" s="67"/>
      <c r="J157" s="59" t="s">
        <v>1221</v>
      </c>
      <c r="K157" s="68"/>
    </row>
    <row r="158" spans="3:11" ht="28">
      <c r="C158" s="58" t="s">
        <v>450</v>
      </c>
      <c r="D158" s="59" t="s">
        <v>1222</v>
      </c>
      <c r="E158" s="59"/>
      <c r="F158" s="67"/>
      <c r="G158" s="59" t="s">
        <v>261</v>
      </c>
      <c r="H158" s="59" t="s">
        <v>262</v>
      </c>
      <c r="I158" s="67"/>
      <c r="J158" s="59" t="s">
        <v>1221</v>
      </c>
      <c r="K158" s="68"/>
    </row>
    <row r="159" spans="3:11" ht="56">
      <c r="C159" s="58" t="s">
        <v>452</v>
      </c>
      <c r="D159" s="59" t="s">
        <v>1223</v>
      </c>
      <c r="E159" s="59" t="s">
        <v>1224</v>
      </c>
      <c r="F159" s="67"/>
      <c r="G159" s="59" t="s">
        <v>261</v>
      </c>
      <c r="H159" s="59" t="s">
        <v>261</v>
      </c>
      <c r="I159" s="67"/>
      <c r="J159" s="59"/>
      <c r="K159" s="68"/>
    </row>
    <row r="160" spans="3:11" ht="14">
      <c r="C160" s="58" t="s">
        <v>454</v>
      </c>
      <c r="D160" s="59" t="s">
        <v>1225</v>
      </c>
      <c r="E160" s="59"/>
      <c r="F160" s="67"/>
      <c r="G160" s="59" t="s">
        <v>263</v>
      </c>
      <c r="H160" s="59" t="s">
        <v>263</v>
      </c>
      <c r="I160" s="67"/>
      <c r="J160" s="59"/>
      <c r="K160" s="68"/>
    </row>
    <row r="161" spans="3:11" ht="42">
      <c r="C161" s="58" t="s">
        <v>457</v>
      </c>
      <c r="D161" s="59" t="s">
        <v>1226</v>
      </c>
      <c r="E161" s="59" t="s">
        <v>1227</v>
      </c>
      <c r="F161" s="67"/>
      <c r="G161" s="59" t="s">
        <v>262</v>
      </c>
      <c r="H161" s="59" t="s">
        <v>262</v>
      </c>
      <c r="I161" s="67"/>
      <c r="J161" s="59"/>
      <c r="K161" s="68"/>
    </row>
    <row r="162" spans="3:11" ht="28">
      <c r="C162" s="58" t="s">
        <v>460</v>
      </c>
      <c r="D162" s="59" t="s">
        <v>1228</v>
      </c>
      <c r="E162" s="59" t="s">
        <v>1229</v>
      </c>
      <c r="F162" s="67"/>
      <c r="G162" s="59" t="s">
        <v>261</v>
      </c>
      <c r="H162" s="59" t="s">
        <v>261</v>
      </c>
      <c r="I162" s="67"/>
      <c r="J162" s="59"/>
      <c r="K162" s="68"/>
    </row>
    <row r="163" spans="3:11" ht="28">
      <c r="C163" s="58" t="s">
        <v>463</v>
      </c>
      <c r="D163" s="59" t="s">
        <v>1230</v>
      </c>
      <c r="E163" s="59" t="s">
        <v>1231</v>
      </c>
      <c r="F163" s="67"/>
      <c r="G163" s="59" t="s">
        <v>181</v>
      </c>
      <c r="H163" s="59" t="s">
        <v>261</v>
      </c>
      <c r="I163" s="67"/>
      <c r="J163" s="59" t="s">
        <v>1232</v>
      </c>
      <c r="K163" s="68"/>
    </row>
    <row r="164" spans="3:11" ht="42">
      <c r="C164" s="58" t="s">
        <v>465</v>
      </c>
      <c r="D164" s="59" t="s">
        <v>1233</v>
      </c>
      <c r="E164" s="59" t="s">
        <v>1231</v>
      </c>
      <c r="F164" s="67"/>
      <c r="G164" s="59" t="s">
        <v>922</v>
      </c>
      <c r="H164" s="59" t="s">
        <v>262</v>
      </c>
      <c r="I164" s="67"/>
      <c r="J164" s="59" t="s">
        <v>1234</v>
      </c>
      <c r="K164" s="68"/>
    </row>
    <row r="165" spans="3:11" ht="84">
      <c r="C165" s="58" t="s">
        <v>467</v>
      </c>
      <c r="D165" s="59" t="s">
        <v>1235</v>
      </c>
      <c r="E165" s="346" t="s">
        <v>1236</v>
      </c>
      <c r="F165" s="67"/>
      <c r="G165" s="59" t="s">
        <v>262</v>
      </c>
      <c r="H165" s="59" t="s">
        <v>262</v>
      </c>
      <c r="I165" s="67"/>
      <c r="J165" s="59" t="s">
        <v>1237</v>
      </c>
      <c r="K165" s="68"/>
    </row>
    <row r="166" spans="3:11" ht="14">
      <c r="C166" s="58" t="s">
        <v>470</v>
      </c>
      <c r="D166" s="59" t="s">
        <v>1238</v>
      </c>
      <c r="E166" s="59"/>
      <c r="F166" s="67"/>
      <c r="G166" s="59" t="s">
        <v>262</v>
      </c>
      <c r="H166" s="59" t="s">
        <v>262</v>
      </c>
      <c r="I166" s="67"/>
      <c r="J166" s="59"/>
      <c r="K166" s="68"/>
    </row>
    <row r="167" spans="3:11" ht="42">
      <c r="C167" s="58" t="s">
        <v>472</v>
      </c>
      <c r="D167" s="59" t="s">
        <v>1239</v>
      </c>
      <c r="E167" s="59" t="s">
        <v>1240</v>
      </c>
      <c r="F167" s="67"/>
      <c r="G167" s="59" t="s">
        <v>261</v>
      </c>
      <c r="H167" s="59" t="s">
        <v>262</v>
      </c>
      <c r="I167" s="67"/>
      <c r="J167" s="59" t="s">
        <v>1241</v>
      </c>
      <c r="K167" s="68"/>
    </row>
    <row r="168" spans="3:11" ht="14">
      <c r="C168" s="55" t="s">
        <v>1242</v>
      </c>
      <c r="D168" s="528" t="s">
        <v>1243</v>
      </c>
      <c r="E168" s="528"/>
      <c r="F168" s="65"/>
      <c r="G168" s="528"/>
      <c r="H168" s="528"/>
      <c r="I168" s="65"/>
      <c r="J168" s="528"/>
      <c r="K168" s="529"/>
    </row>
    <row r="169" spans="3:11" ht="28">
      <c r="C169" s="58" t="s">
        <v>479</v>
      </c>
      <c r="D169" s="59" t="s">
        <v>1244</v>
      </c>
      <c r="E169" s="59"/>
      <c r="F169" s="67"/>
      <c r="G169" s="59" t="s">
        <v>181</v>
      </c>
      <c r="H169" s="59" t="s">
        <v>181</v>
      </c>
      <c r="I169" s="67"/>
      <c r="J169" s="59" t="s">
        <v>1245</v>
      </c>
      <c r="K169" s="68"/>
    </row>
    <row r="170" spans="3:11" ht="28">
      <c r="C170" s="58" t="s">
        <v>481</v>
      </c>
      <c r="D170" s="59" t="s">
        <v>482</v>
      </c>
      <c r="E170" s="59"/>
      <c r="F170" s="67"/>
      <c r="G170" s="59" t="s">
        <v>261</v>
      </c>
      <c r="H170" s="59" t="s">
        <v>261</v>
      </c>
      <c r="I170" s="67"/>
      <c r="J170" s="59" t="s">
        <v>1245</v>
      </c>
      <c r="K170" s="68"/>
    </row>
    <row r="171" spans="3:11" ht="28">
      <c r="C171" s="56" t="s">
        <v>483</v>
      </c>
      <c r="D171" s="57" t="s">
        <v>1246</v>
      </c>
      <c r="E171" s="57"/>
      <c r="F171" s="66"/>
      <c r="G171" s="57" t="s">
        <v>262</v>
      </c>
      <c r="H171" s="57" t="s">
        <v>262</v>
      </c>
      <c r="I171" s="66"/>
      <c r="J171" s="59" t="s">
        <v>1245</v>
      </c>
      <c r="K171" s="73"/>
    </row>
    <row r="172" spans="3:11" ht="28">
      <c r="C172" s="58" t="s">
        <v>485</v>
      </c>
      <c r="D172" s="59" t="s">
        <v>1247</v>
      </c>
      <c r="E172" s="59"/>
      <c r="F172" s="67"/>
      <c r="G172" s="59" t="s">
        <v>262</v>
      </c>
      <c r="H172" s="59" t="s">
        <v>262</v>
      </c>
      <c r="I172" s="67"/>
      <c r="J172" s="59" t="s">
        <v>1245</v>
      </c>
      <c r="K172" s="68"/>
    </row>
    <row r="173" spans="3:11" ht="28">
      <c r="C173" s="58" t="s">
        <v>487</v>
      </c>
      <c r="D173" s="59" t="s">
        <v>1248</v>
      </c>
      <c r="E173" s="59"/>
      <c r="F173" s="67"/>
      <c r="G173" s="59" t="s">
        <v>261</v>
      </c>
      <c r="H173" s="59" t="s">
        <v>261</v>
      </c>
      <c r="I173" s="67"/>
      <c r="J173" s="59" t="s">
        <v>1245</v>
      </c>
      <c r="K173" s="68"/>
    </row>
    <row r="174" spans="3:11" ht="28">
      <c r="C174" s="58" t="s">
        <v>489</v>
      </c>
      <c r="D174" s="59" t="s">
        <v>1249</v>
      </c>
      <c r="E174" s="59"/>
      <c r="F174" s="67"/>
      <c r="G174" s="59" t="s">
        <v>181</v>
      </c>
      <c r="H174" s="59" t="s">
        <v>181</v>
      </c>
      <c r="I174" s="67"/>
      <c r="J174" s="59" t="s">
        <v>1245</v>
      </c>
      <c r="K174" s="68"/>
    </row>
    <row r="175" spans="3:11" ht="42">
      <c r="C175" s="58" t="s">
        <v>491</v>
      </c>
      <c r="D175" s="59" t="s">
        <v>1250</v>
      </c>
      <c r="E175" s="59"/>
      <c r="F175" s="67"/>
      <c r="G175" s="59" t="s">
        <v>262</v>
      </c>
      <c r="H175" s="59" t="s">
        <v>261</v>
      </c>
      <c r="I175" s="67"/>
      <c r="J175" s="59" t="s">
        <v>1251</v>
      </c>
      <c r="K175" s="68"/>
    </row>
    <row r="176" spans="3:11" ht="42">
      <c r="C176" s="58" t="s">
        <v>493</v>
      </c>
      <c r="D176" s="59" t="s">
        <v>1252</v>
      </c>
      <c r="E176" s="59"/>
      <c r="F176" s="67"/>
      <c r="G176" s="59" t="s">
        <v>263</v>
      </c>
      <c r="H176" s="59" t="s">
        <v>263</v>
      </c>
      <c r="I176" s="67"/>
      <c r="J176" s="59" t="s">
        <v>1253</v>
      </c>
      <c r="K176" s="68"/>
    </row>
    <row r="177" spans="3:11" ht="70">
      <c r="C177" s="58" t="s">
        <v>495</v>
      </c>
      <c r="D177" s="59" t="s">
        <v>1254</v>
      </c>
      <c r="E177" s="59" t="s">
        <v>1255</v>
      </c>
      <c r="F177" s="67"/>
      <c r="G177" s="59" t="s">
        <v>262</v>
      </c>
      <c r="H177" s="59" t="s">
        <v>262</v>
      </c>
      <c r="I177" s="67"/>
      <c r="J177" s="59" t="s">
        <v>1256</v>
      </c>
      <c r="K177" s="68"/>
    </row>
    <row r="178" spans="3:11" ht="56">
      <c r="C178" s="58" t="s">
        <v>497</v>
      </c>
      <c r="D178" s="59" t="s">
        <v>1257</v>
      </c>
      <c r="E178" s="346" t="s">
        <v>1258</v>
      </c>
      <c r="F178" s="67"/>
      <c r="G178" s="59" t="s">
        <v>261</v>
      </c>
      <c r="H178" s="59" t="s">
        <v>261</v>
      </c>
      <c r="I178" s="67"/>
      <c r="J178" s="59"/>
      <c r="K178" s="68"/>
    </row>
    <row r="179" spans="3:11" ht="56">
      <c r="C179" s="58" t="s">
        <v>499</v>
      </c>
      <c r="D179" s="59" t="s">
        <v>1259</v>
      </c>
      <c r="E179" s="346" t="s">
        <v>1260</v>
      </c>
      <c r="F179" s="67"/>
      <c r="G179" s="59" t="s">
        <v>181</v>
      </c>
      <c r="H179" s="59" t="s">
        <v>261</v>
      </c>
      <c r="I179" s="67"/>
      <c r="J179" s="59" t="s">
        <v>1261</v>
      </c>
      <c r="K179" s="68"/>
    </row>
    <row r="180" spans="3:11" ht="14">
      <c r="C180" s="55" t="s">
        <v>1262</v>
      </c>
      <c r="D180" s="528" t="s">
        <v>1263</v>
      </c>
      <c r="E180" s="528"/>
      <c r="F180" s="65"/>
      <c r="G180" s="528"/>
      <c r="H180" s="528"/>
      <c r="I180" s="65"/>
      <c r="J180" s="528"/>
      <c r="K180" s="529"/>
    </row>
    <row r="181" spans="3:11" ht="28">
      <c r="C181" s="58" t="s">
        <v>671</v>
      </c>
      <c r="D181" s="59" t="s">
        <v>1264</v>
      </c>
      <c r="E181" s="59"/>
      <c r="F181" s="67"/>
      <c r="G181" s="59" t="s">
        <v>181</v>
      </c>
      <c r="H181" s="59" t="s">
        <v>181</v>
      </c>
      <c r="I181" s="67"/>
      <c r="J181" s="59"/>
      <c r="K181" s="68"/>
    </row>
    <row r="182" spans="3:11" ht="154">
      <c r="C182" s="58" t="s">
        <v>673</v>
      </c>
      <c r="D182" s="59" t="s">
        <v>1265</v>
      </c>
      <c r="E182" s="59" t="s">
        <v>1266</v>
      </c>
      <c r="F182" s="67"/>
      <c r="G182" s="59" t="s">
        <v>262</v>
      </c>
      <c r="H182" s="59" t="s">
        <v>263</v>
      </c>
      <c r="I182" s="67"/>
      <c r="J182" s="59"/>
      <c r="K182" s="68"/>
    </row>
    <row r="183" spans="3:11" ht="70">
      <c r="C183" s="58" t="s">
        <v>676</v>
      </c>
      <c r="D183" s="59" t="s">
        <v>1267</v>
      </c>
      <c r="E183" s="346" t="s">
        <v>1268</v>
      </c>
      <c r="F183" s="67"/>
      <c r="G183" s="59" t="s">
        <v>181</v>
      </c>
      <c r="H183" s="59" t="s">
        <v>181</v>
      </c>
      <c r="I183" s="67"/>
      <c r="J183" s="59" t="s">
        <v>1269</v>
      </c>
      <c r="K183" s="68"/>
    </row>
    <row r="184" spans="3:11" ht="84">
      <c r="C184" s="58" t="s">
        <v>679</v>
      </c>
      <c r="D184" s="59" t="s">
        <v>1270</v>
      </c>
      <c r="E184" s="59" t="s">
        <v>1271</v>
      </c>
      <c r="F184" s="67"/>
      <c r="G184" s="59" t="s">
        <v>261</v>
      </c>
      <c r="H184" s="59" t="s">
        <v>262</v>
      </c>
      <c r="I184" s="67"/>
      <c r="J184" s="59" t="s">
        <v>1272</v>
      </c>
      <c r="K184" s="68"/>
    </row>
    <row r="185" spans="3:11" ht="56">
      <c r="C185" s="58" t="s">
        <v>682</v>
      </c>
      <c r="D185" s="59" t="s">
        <v>1273</v>
      </c>
      <c r="E185" s="59" t="s">
        <v>1274</v>
      </c>
      <c r="F185" s="67"/>
      <c r="G185" s="59" t="s">
        <v>262</v>
      </c>
      <c r="H185" s="59" t="s">
        <v>263</v>
      </c>
      <c r="I185" s="67"/>
      <c r="J185" s="59" t="s">
        <v>1275</v>
      </c>
      <c r="K185" s="68"/>
    </row>
    <row r="186" spans="3:11" ht="56">
      <c r="C186" s="58" t="s">
        <v>685</v>
      </c>
      <c r="D186" s="59" t="s">
        <v>1276</v>
      </c>
      <c r="E186" s="59"/>
      <c r="F186" s="67"/>
      <c r="G186" s="59" t="s">
        <v>261</v>
      </c>
      <c r="H186" s="59" t="s">
        <v>261</v>
      </c>
      <c r="I186" s="67"/>
      <c r="J186" s="59" t="s">
        <v>1277</v>
      </c>
      <c r="K186" s="68"/>
    </row>
    <row r="187" spans="3:11" ht="98">
      <c r="C187" s="58" t="s">
        <v>688</v>
      </c>
      <c r="D187" s="59" t="s">
        <v>1278</v>
      </c>
      <c r="E187" s="346" t="s">
        <v>1279</v>
      </c>
      <c r="F187" s="67"/>
      <c r="G187" s="59" t="s">
        <v>261</v>
      </c>
      <c r="H187" s="59" t="s">
        <v>262</v>
      </c>
      <c r="I187" s="67"/>
      <c r="J187" s="59" t="s">
        <v>1280</v>
      </c>
      <c r="K187" s="68"/>
    </row>
    <row r="188" spans="3:11" ht="112">
      <c r="C188" s="58" t="s">
        <v>691</v>
      </c>
      <c r="D188" s="59" t="s">
        <v>1281</v>
      </c>
      <c r="E188" s="59" t="s">
        <v>1282</v>
      </c>
      <c r="F188" s="67"/>
      <c r="G188" s="59" t="s">
        <v>262</v>
      </c>
      <c r="H188" s="59" t="s">
        <v>262</v>
      </c>
      <c r="I188" s="67"/>
      <c r="J188" s="59" t="s">
        <v>1283</v>
      </c>
      <c r="K188" s="68"/>
    </row>
    <row r="189" spans="3:11" ht="84">
      <c r="C189" s="58" t="s">
        <v>693</v>
      </c>
      <c r="D189" s="59" t="s">
        <v>694</v>
      </c>
      <c r="E189" s="59" t="s">
        <v>1282</v>
      </c>
      <c r="F189" s="67"/>
      <c r="G189" s="59" t="s">
        <v>262</v>
      </c>
      <c r="H189" s="59" t="s">
        <v>262</v>
      </c>
      <c r="I189" s="67"/>
      <c r="J189" s="59" t="s">
        <v>1284</v>
      </c>
      <c r="K189" s="68"/>
    </row>
    <row r="190" spans="3:11" ht="70">
      <c r="C190" s="58" t="s">
        <v>695</v>
      </c>
      <c r="D190" s="59" t="s">
        <v>1285</v>
      </c>
      <c r="E190" s="346" t="s">
        <v>1286</v>
      </c>
      <c r="F190" s="67"/>
      <c r="G190" s="59" t="s">
        <v>181</v>
      </c>
      <c r="H190" s="59" t="s">
        <v>262</v>
      </c>
      <c r="I190" s="67"/>
      <c r="J190" s="346" t="s">
        <v>1287</v>
      </c>
      <c r="K190" s="68"/>
    </row>
    <row r="191" spans="3:11" ht="42">
      <c r="C191" s="58" t="s">
        <v>698</v>
      </c>
      <c r="D191" s="59" t="s">
        <v>1288</v>
      </c>
      <c r="E191" s="59"/>
      <c r="F191" s="67"/>
      <c r="G191" s="59" t="s">
        <v>262</v>
      </c>
      <c r="H191" s="59" t="s">
        <v>263</v>
      </c>
      <c r="I191" s="67"/>
      <c r="J191" s="59" t="s">
        <v>1289</v>
      </c>
      <c r="K191" s="68"/>
    </row>
    <row r="192" spans="3:11" ht="112">
      <c r="C192" s="58" t="s">
        <v>701</v>
      </c>
      <c r="D192" s="59" t="s">
        <v>702</v>
      </c>
      <c r="E192" s="346" t="s">
        <v>1290</v>
      </c>
      <c r="F192" s="67"/>
      <c r="G192" s="59" t="s">
        <v>181</v>
      </c>
      <c r="H192" s="59" t="s">
        <v>261</v>
      </c>
      <c r="I192" s="67"/>
      <c r="J192" s="59" t="s">
        <v>703</v>
      </c>
      <c r="K192" s="68"/>
    </row>
    <row r="193" spans="3:11" ht="40.5">
      <c r="C193" s="58" t="s">
        <v>704</v>
      </c>
      <c r="D193" s="59" t="s">
        <v>1291</v>
      </c>
      <c r="E193" s="59"/>
      <c r="F193" s="67"/>
      <c r="G193" s="59" t="s">
        <v>181</v>
      </c>
      <c r="H193" s="59" t="s">
        <v>181</v>
      </c>
      <c r="I193" s="67"/>
      <c r="J193" s="59" t="s">
        <v>1292</v>
      </c>
      <c r="K193" s="68"/>
    </row>
    <row r="194" spans="3:11" ht="70">
      <c r="C194" s="58" t="s">
        <v>707</v>
      </c>
      <c r="D194" s="59" t="s">
        <v>1293</v>
      </c>
      <c r="E194" s="59" t="s">
        <v>1294</v>
      </c>
      <c r="F194" s="67"/>
      <c r="G194" s="59" t="s">
        <v>261</v>
      </c>
      <c r="H194" s="59" t="s">
        <v>261</v>
      </c>
      <c r="I194" s="67"/>
      <c r="J194" s="59" t="s">
        <v>1295</v>
      </c>
      <c r="K194" s="68"/>
    </row>
    <row r="195" spans="3:11" ht="42">
      <c r="C195" s="58" t="s">
        <v>710</v>
      </c>
      <c r="D195" s="59" t="s">
        <v>1296</v>
      </c>
      <c r="E195" s="59"/>
      <c r="F195" s="67"/>
      <c r="G195" s="59" t="s">
        <v>263</v>
      </c>
      <c r="H195" s="59" t="s">
        <v>263</v>
      </c>
      <c r="I195" s="67"/>
      <c r="J195" s="59" t="s">
        <v>1297</v>
      </c>
      <c r="K195" s="68"/>
    </row>
    <row r="196" spans="3:11" ht="56">
      <c r="C196" s="58" t="s">
        <v>713</v>
      </c>
      <c r="D196" s="59" t="s">
        <v>1298</v>
      </c>
      <c r="E196" s="346" t="s">
        <v>1299</v>
      </c>
      <c r="F196" s="67"/>
      <c r="G196" s="59" t="s">
        <v>263</v>
      </c>
      <c r="H196" s="59" t="s">
        <v>263</v>
      </c>
      <c r="I196" s="67"/>
      <c r="J196" s="59" t="s">
        <v>1297</v>
      </c>
      <c r="K196" s="68"/>
    </row>
    <row r="197" spans="3:11" ht="56">
      <c r="C197" s="58" t="s">
        <v>716</v>
      </c>
      <c r="D197" s="59" t="s">
        <v>1300</v>
      </c>
      <c r="E197" s="346" t="s">
        <v>1299</v>
      </c>
      <c r="F197" s="67"/>
      <c r="G197" s="59" t="s">
        <v>263</v>
      </c>
      <c r="H197" s="59" t="s">
        <v>263</v>
      </c>
      <c r="I197" s="67"/>
      <c r="J197" s="59" t="s">
        <v>1297</v>
      </c>
      <c r="K197" s="68"/>
    </row>
    <row r="198" spans="3:11" ht="56">
      <c r="C198" s="58" t="s">
        <v>719</v>
      </c>
      <c r="D198" s="59" t="s">
        <v>1301</v>
      </c>
      <c r="E198" s="346" t="s">
        <v>1299</v>
      </c>
      <c r="F198" s="67"/>
      <c r="G198" s="59" t="s">
        <v>262</v>
      </c>
      <c r="H198" s="59" t="s">
        <v>263</v>
      </c>
      <c r="I198" s="67"/>
      <c r="J198" s="59" t="s">
        <v>1297</v>
      </c>
      <c r="K198" s="68"/>
    </row>
    <row r="199" spans="3:11" ht="14">
      <c r="C199" s="58" t="s">
        <v>722</v>
      </c>
      <c r="D199" s="59" t="s">
        <v>1302</v>
      </c>
      <c r="E199" s="59"/>
      <c r="F199" s="67"/>
      <c r="G199" s="59" t="s">
        <v>263</v>
      </c>
      <c r="H199" s="59" t="s">
        <v>263</v>
      </c>
      <c r="I199" s="67"/>
      <c r="J199" s="59"/>
      <c r="K199" s="68"/>
    </row>
    <row r="200" spans="3:11" ht="42">
      <c r="C200" s="58" t="s">
        <v>724</v>
      </c>
      <c r="D200" s="59" t="s">
        <v>1303</v>
      </c>
      <c r="E200" s="59"/>
      <c r="F200" s="67"/>
      <c r="G200" s="59" t="s">
        <v>261</v>
      </c>
      <c r="H200" s="59" t="s">
        <v>263</v>
      </c>
      <c r="I200" s="67"/>
      <c r="J200" s="59" t="s">
        <v>1304</v>
      </c>
      <c r="K200" s="68"/>
    </row>
    <row r="201" spans="3:11" ht="42">
      <c r="C201" s="58" t="s">
        <v>727</v>
      </c>
      <c r="D201" s="74" t="s">
        <v>1305</v>
      </c>
      <c r="E201" s="74"/>
      <c r="F201" s="75"/>
      <c r="G201" s="74" t="s">
        <v>261</v>
      </c>
      <c r="H201" s="74" t="s">
        <v>263</v>
      </c>
      <c r="I201" s="75"/>
      <c r="J201" s="74" t="s">
        <v>1306</v>
      </c>
      <c r="K201" s="76"/>
    </row>
  </sheetData>
  <sheetProtection formatCells="0" formatColumns="0" formatRows="0" insertColumns="0" insertRows="0" insertHyperlinks="0" deleteColumns="0" deleteRows="0" sort="0" autoFilter="0" pivotTables="0"/>
  <mergeCells count="57">
    <mergeCell ref="C2:K3"/>
    <mergeCell ref="D180:E180"/>
    <mergeCell ref="G180:H180"/>
    <mergeCell ref="J180:K180"/>
    <mergeCell ref="F5:F6"/>
    <mergeCell ref="I5:I6"/>
    <mergeCell ref="J5:J6"/>
    <mergeCell ref="K5:K6"/>
    <mergeCell ref="D155:E155"/>
    <mergeCell ref="G155:H155"/>
    <mergeCell ref="J155:K155"/>
    <mergeCell ref="D168:E168"/>
    <mergeCell ref="G168:H168"/>
    <mergeCell ref="J168:K168"/>
    <mergeCell ref="C132:E132"/>
    <mergeCell ref="G132:H132"/>
    <mergeCell ref="J132:K132"/>
    <mergeCell ref="D133:E133"/>
    <mergeCell ref="G133:H133"/>
    <mergeCell ref="J133:K133"/>
    <mergeCell ref="D97:E97"/>
    <mergeCell ref="G97:H97"/>
    <mergeCell ref="J97:K97"/>
    <mergeCell ref="D112:E112"/>
    <mergeCell ref="G112:H112"/>
    <mergeCell ref="J112:K112"/>
    <mergeCell ref="D86:E86"/>
    <mergeCell ref="G86:H86"/>
    <mergeCell ref="J86:K86"/>
    <mergeCell ref="D89:E89"/>
    <mergeCell ref="G89:H89"/>
    <mergeCell ref="J89:K89"/>
    <mergeCell ref="D65:E65"/>
    <mergeCell ref="G65:H65"/>
    <mergeCell ref="J65:K65"/>
    <mergeCell ref="D68:E68"/>
    <mergeCell ref="G68:H68"/>
    <mergeCell ref="J68:K68"/>
    <mergeCell ref="D16:E16"/>
    <mergeCell ref="G16:H16"/>
    <mergeCell ref="J16:K16"/>
    <mergeCell ref="D60:E60"/>
    <mergeCell ref="G60:H60"/>
    <mergeCell ref="J60:K60"/>
    <mergeCell ref="D10:E10"/>
    <mergeCell ref="G10:H10"/>
    <mergeCell ref="J10:K10"/>
    <mergeCell ref="D13:E13"/>
    <mergeCell ref="G13:H13"/>
    <mergeCell ref="J13:K13"/>
    <mergeCell ref="C5:E5"/>
    <mergeCell ref="C7:E7"/>
    <mergeCell ref="G7:H7"/>
    <mergeCell ref="J7:K7"/>
    <mergeCell ref="D8:E8"/>
    <mergeCell ref="G8:H8"/>
    <mergeCell ref="J8:K8"/>
  </mergeCells>
  <phoneticPr fontId="52" type="noConversion"/>
  <hyperlinks>
    <hyperlink ref="K116" r:id="rId1" xr:uid="{00000000-0004-0000-0B00-000000000000}"/>
    <hyperlink ref="K115" r:id="rId2" xr:uid="{00000000-0004-0000-0B00-000001000000}"/>
  </hyperlinks>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B2:U25"/>
  <sheetViews>
    <sheetView zoomScalePageLayoutView="80" workbookViewId="0">
      <selection activeCell="Z18" sqref="Z18"/>
    </sheetView>
  </sheetViews>
  <sheetFormatPr defaultColWidth="11.08203125" defaultRowHeight="14"/>
  <cols>
    <col min="1" max="1" width="5.6640625" style="13" customWidth="1"/>
    <col min="2" max="2" width="3.6640625" style="13" customWidth="1"/>
    <col min="3" max="3" width="11.83203125" style="13" customWidth="1"/>
    <col min="4" max="4" width="8.33203125" style="13" customWidth="1"/>
    <col min="5" max="6" width="14.83203125" style="13" customWidth="1"/>
    <col min="7" max="7" width="11.08203125" style="13"/>
    <col min="8" max="8" width="11.4140625" style="13" customWidth="1"/>
    <col min="9" max="9" width="17" style="13" customWidth="1"/>
    <col min="10" max="10" width="3.9140625" style="13" hidden="1" customWidth="1"/>
    <col min="11" max="11" width="5.1640625" style="13" hidden="1" customWidth="1"/>
    <col min="12" max="12" width="5.9140625" style="13" hidden="1" customWidth="1"/>
    <col min="13" max="13" width="8.08203125" style="13" hidden="1" customWidth="1"/>
    <col min="14" max="14" width="9.4140625" style="13" hidden="1" customWidth="1"/>
    <col min="15" max="15" width="7" style="13" hidden="1" customWidth="1"/>
    <col min="16" max="16" width="10.4140625" style="13" hidden="1" customWidth="1"/>
    <col min="17" max="17" width="7.4140625" style="13" hidden="1" customWidth="1"/>
    <col min="18" max="18" width="6.83203125" style="13" hidden="1" customWidth="1"/>
    <col min="19" max="19" width="10.1640625" style="13" hidden="1" customWidth="1"/>
    <col min="20" max="20" width="8.4140625" style="13" hidden="1" customWidth="1"/>
    <col min="21" max="21" width="11.4140625" style="13" hidden="1" customWidth="1"/>
    <col min="22" max="16384" width="11.08203125" style="13"/>
  </cols>
  <sheetData>
    <row r="2" spans="2:21" ht="16.5" customHeight="1">
      <c r="B2" s="552" t="s">
        <v>1307</v>
      </c>
      <c r="C2" s="553"/>
      <c r="D2" s="553"/>
      <c r="E2" s="553"/>
      <c r="F2" s="553"/>
      <c r="G2" s="553"/>
      <c r="H2" s="554"/>
    </row>
    <row r="3" spans="2:21" ht="13.5" customHeight="1">
      <c r="B3" s="555"/>
      <c r="C3" s="556"/>
      <c r="D3" s="556"/>
      <c r="E3" s="556"/>
      <c r="F3" s="556"/>
      <c r="G3" s="556"/>
      <c r="H3" s="557"/>
    </row>
    <row r="4" spans="2:21" ht="27.75" customHeight="1">
      <c r="B4" s="14"/>
      <c r="C4" s="15"/>
      <c r="D4" s="16"/>
      <c r="E4" s="21" t="s">
        <v>351</v>
      </c>
      <c r="F4" s="21" t="s">
        <v>352</v>
      </c>
      <c r="G4" s="21" t="s">
        <v>182</v>
      </c>
      <c r="H4" s="22" t="s">
        <v>353</v>
      </c>
      <c r="J4" s="550" t="s">
        <v>1308</v>
      </c>
      <c r="K4" s="558" t="s">
        <v>1309</v>
      </c>
      <c r="L4" s="559"/>
      <c r="M4" s="43"/>
      <c r="N4" s="558" t="s">
        <v>1310</v>
      </c>
      <c r="O4" s="559"/>
      <c r="P4" s="43"/>
      <c r="Q4" s="558" t="s">
        <v>1311</v>
      </c>
      <c r="R4" s="559"/>
      <c r="S4" s="43"/>
      <c r="T4" s="46" t="s">
        <v>1312</v>
      </c>
      <c r="U4" s="48" t="s">
        <v>1313</v>
      </c>
    </row>
    <row r="5" spans="2:21" ht="21" customHeight="1">
      <c r="B5" s="546" t="s">
        <v>198</v>
      </c>
      <c r="C5" s="17" t="s">
        <v>1314</v>
      </c>
      <c r="D5" s="349" t="s">
        <v>1315</v>
      </c>
      <c r="E5" s="23" t="s">
        <v>1316</v>
      </c>
      <c r="F5" s="23" t="s">
        <v>1316</v>
      </c>
      <c r="G5" s="23" t="s">
        <v>1316</v>
      </c>
      <c r="H5" s="24" t="s">
        <v>1316</v>
      </c>
      <c r="J5" s="551"/>
      <c r="K5" s="41" t="s">
        <v>170</v>
      </c>
      <c r="L5" s="42"/>
      <c r="M5" s="44"/>
      <c r="N5" s="45" t="s">
        <v>172</v>
      </c>
      <c r="O5" s="42"/>
      <c r="P5" s="44"/>
      <c r="Q5" s="41" t="s">
        <v>175</v>
      </c>
      <c r="R5" s="42"/>
      <c r="S5" s="44"/>
      <c r="T5" s="47" t="s">
        <v>1317</v>
      </c>
      <c r="U5" s="49" t="e">
        <v>#N/A</v>
      </c>
    </row>
    <row r="6" spans="2:21" ht="21" customHeight="1">
      <c r="B6" s="547"/>
      <c r="C6" s="18" t="s">
        <v>181</v>
      </c>
      <c r="D6" s="350" t="s">
        <v>1318</v>
      </c>
      <c r="E6" s="25" t="s">
        <v>1316</v>
      </c>
      <c r="F6" s="25" t="s">
        <v>1316</v>
      </c>
      <c r="G6" s="25" t="s">
        <v>1316</v>
      </c>
      <c r="H6" s="26" t="s">
        <v>1316</v>
      </c>
      <c r="J6" s="551"/>
      <c r="K6" s="41" t="s">
        <v>170</v>
      </c>
      <c r="L6" s="42" t="s">
        <v>230</v>
      </c>
      <c r="M6" s="44"/>
      <c r="N6" s="45" t="s">
        <v>172</v>
      </c>
      <c r="O6" s="42" t="s">
        <v>230</v>
      </c>
      <c r="P6" s="44"/>
      <c r="Q6" s="41" t="s">
        <v>175</v>
      </c>
      <c r="R6" s="42" t="s">
        <v>230</v>
      </c>
      <c r="S6" s="44"/>
      <c r="T6" s="47" t="s">
        <v>1317</v>
      </c>
      <c r="U6" s="49" t="e">
        <v>#VALUE!</v>
      </c>
    </row>
    <row r="7" spans="2:21" ht="33.65" customHeight="1">
      <c r="B7" s="547"/>
      <c r="C7" s="18" t="s">
        <v>261</v>
      </c>
      <c r="D7" s="350" t="s">
        <v>1319</v>
      </c>
      <c r="E7" s="25" t="s">
        <v>1316</v>
      </c>
      <c r="F7" s="25" t="s">
        <v>1316</v>
      </c>
      <c r="G7" s="25" t="s">
        <v>1316</v>
      </c>
      <c r="H7" s="26" t="s">
        <v>1316</v>
      </c>
      <c r="J7" s="551"/>
      <c r="K7" s="41" t="s">
        <v>170</v>
      </c>
      <c r="L7" s="42">
        <v>0</v>
      </c>
      <c r="M7" s="44"/>
      <c r="N7" s="45" t="s">
        <v>172</v>
      </c>
      <c r="O7" s="42">
        <v>0</v>
      </c>
      <c r="P7" s="44"/>
      <c r="Q7" s="41" t="s">
        <v>175</v>
      </c>
      <c r="R7" s="42">
        <v>0</v>
      </c>
      <c r="S7" s="44"/>
      <c r="T7" s="47" t="s">
        <v>1317</v>
      </c>
      <c r="U7" s="49" t="s">
        <v>1320</v>
      </c>
    </row>
    <row r="8" spans="2:21" ht="33.65" customHeight="1">
      <c r="B8" s="547"/>
      <c r="C8" s="18" t="s">
        <v>262</v>
      </c>
      <c r="D8" s="350" t="s">
        <v>1321</v>
      </c>
      <c r="E8" s="25" t="s">
        <v>1316</v>
      </c>
      <c r="F8" s="25" t="s">
        <v>1316</v>
      </c>
      <c r="G8" s="25" t="s">
        <v>1316</v>
      </c>
      <c r="H8" s="26" t="s">
        <v>1316</v>
      </c>
      <c r="J8" s="551"/>
      <c r="K8" s="41" t="s">
        <v>170</v>
      </c>
      <c r="L8" s="42">
        <v>0</v>
      </c>
      <c r="M8" s="44"/>
      <c r="N8" s="45" t="s">
        <v>172</v>
      </c>
      <c r="O8" s="42">
        <v>0</v>
      </c>
      <c r="P8" s="44"/>
      <c r="Q8" s="41" t="s">
        <v>175</v>
      </c>
      <c r="R8" s="42">
        <v>1</v>
      </c>
      <c r="S8" s="44"/>
      <c r="T8" s="47" t="s">
        <v>1317</v>
      </c>
      <c r="U8" s="49" t="s">
        <v>1320</v>
      </c>
    </row>
    <row r="9" spans="2:21" ht="33.65" customHeight="1">
      <c r="B9" s="548"/>
      <c r="C9" s="19" t="s">
        <v>263</v>
      </c>
      <c r="D9" s="351" t="s">
        <v>1322</v>
      </c>
      <c r="E9" s="25" t="s">
        <v>1316</v>
      </c>
      <c r="F9" s="25" t="s">
        <v>1316</v>
      </c>
      <c r="G9" s="25" t="s">
        <v>1316</v>
      </c>
      <c r="H9" s="26" t="s">
        <v>1316</v>
      </c>
      <c r="J9" s="551"/>
      <c r="K9" s="41" t="s">
        <v>170</v>
      </c>
      <c r="L9" s="42">
        <v>0</v>
      </c>
      <c r="M9" s="44"/>
      <c r="N9" s="45" t="s">
        <v>172</v>
      </c>
      <c r="O9" s="42">
        <v>0</v>
      </c>
      <c r="P9" s="44"/>
      <c r="Q9" s="41" t="s">
        <v>175</v>
      </c>
      <c r="R9" s="42">
        <v>2</v>
      </c>
      <c r="S9" s="44"/>
      <c r="T9" s="47" t="s">
        <v>1317</v>
      </c>
      <c r="U9" s="49" t="s">
        <v>1320</v>
      </c>
    </row>
    <row r="10" spans="2:21" ht="33.65" customHeight="1">
      <c r="B10" s="543" t="s">
        <v>199</v>
      </c>
      <c r="C10" s="17" t="s">
        <v>1314</v>
      </c>
      <c r="D10" s="349" t="s">
        <v>1323</v>
      </c>
      <c r="E10" s="23" t="s">
        <v>1316</v>
      </c>
      <c r="F10" s="23" t="s">
        <v>1316</v>
      </c>
      <c r="G10" s="23" t="s">
        <v>1316</v>
      </c>
      <c r="H10" s="24" t="s">
        <v>1316</v>
      </c>
      <c r="J10" s="551"/>
      <c r="K10" s="41" t="s">
        <v>170</v>
      </c>
      <c r="L10" s="42">
        <v>0</v>
      </c>
      <c r="M10" s="44"/>
      <c r="N10" s="45" t="s">
        <v>172</v>
      </c>
      <c r="O10" s="42">
        <v>0</v>
      </c>
      <c r="P10" s="44"/>
      <c r="Q10" s="41" t="s">
        <v>175</v>
      </c>
      <c r="R10" s="42">
        <v>3</v>
      </c>
      <c r="S10" s="44"/>
      <c r="T10" s="47" t="s">
        <v>1317</v>
      </c>
      <c r="U10" s="49" t="s">
        <v>1320</v>
      </c>
    </row>
    <row r="11" spans="2:21" ht="33.65" customHeight="1">
      <c r="B11" s="544"/>
      <c r="C11" s="18" t="s">
        <v>181</v>
      </c>
      <c r="D11" s="350" t="s">
        <v>1324</v>
      </c>
      <c r="E11" s="25" t="s">
        <v>1316</v>
      </c>
      <c r="F11" s="25" t="s">
        <v>1320</v>
      </c>
      <c r="G11" s="25" t="s">
        <v>1320</v>
      </c>
      <c r="H11" s="26" t="s">
        <v>1320</v>
      </c>
      <c r="J11" s="551"/>
      <c r="K11" s="41" t="s">
        <v>170</v>
      </c>
      <c r="L11" s="42">
        <v>0</v>
      </c>
      <c r="M11" s="44"/>
      <c r="N11" s="45" t="s">
        <v>172</v>
      </c>
      <c r="O11" s="42">
        <v>1</v>
      </c>
      <c r="P11" s="44"/>
      <c r="Q11" s="41" t="s">
        <v>175</v>
      </c>
      <c r="R11" s="42">
        <v>0</v>
      </c>
      <c r="S11" s="44"/>
      <c r="T11" s="47" t="s">
        <v>1317</v>
      </c>
      <c r="U11" s="49" t="s">
        <v>1320</v>
      </c>
    </row>
    <row r="12" spans="2:21" ht="33.65" customHeight="1">
      <c r="B12" s="544"/>
      <c r="C12" s="18" t="s">
        <v>261</v>
      </c>
      <c r="D12" s="350" t="s">
        <v>1325</v>
      </c>
      <c r="E12" s="25" t="s">
        <v>1316</v>
      </c>
      <c r="F12" s="25" t="s">
        <v>1320</v>
      </c>
      <c r="G12" s="25" t="s">
        <v>1320</v>
      </c>
      <c r="H12" s="26" t="s">
        <v>1320</v>
      </c>
      <c r="J12" s="551"/>
      <c r="K12" s="41" t="s">
        <v>170</v>
      </c>
      <c r="L12" s="42">
        <v>0</v>
      </c>
      <c r="M12" s="44"/>
      <c r="N12" s="45" t="s">
        <v>172</v>
      </c>
      <c r="O12" s="42">
        <v>1</v>
      </c>
      <c r="P12" s="44"/>
      <c r="Q12" s="41" t="s">
        <v>175</v>
      </c>
      <c r="R12" s="42">
        <v>1</v>
      </c>
      <c r="S12" s="44"/>
      <c r="T12" s="47" t="s">
        <v>1317</v>
      </c>
      <c r="U12" s="49" t="s">
        <v>1320</v>
      </c>
    </row>
    <row r="13" spans="2:21" ht="33.65" customHeight="1">
      <c r="B13" s="544"/>
      <c r="C13" s="18" t="s">
        <v>262</v>
      </c>
      <c r="D13" s="350" t="s">
        <v>1326</v>
      </c>
      <c r="E13" s="25" t="s">
        <v>1316</v>
      </c>
      <c r="F13" s="25" t="s">
        <v>1320</v>
      </c>
      <c r="G13" s="25" t="s">
        <v>1320</v>
      </c>
      <c r="H13" s="27" t="s">
        <v>1327</v>
      </c>
      <c r="J13" s="551"/>
      <c r="K13" s="41" t="s">
        <v>170</v>
      </c>
      <c r="L13" s="42">
        <v>0</v>
      </c>
      <c r="M13" s="44"/>
      <c r="N13" s="45" t="s">
        <v>172</v>
      </c>
      <c r="O13" s="42">
        <v>1</v>
      </c>
      <c r="P13" s="44"/>
      <c r="Q13" s="41" t="s">
        <v>175</v>
      </c>
      <c r="R13" s="42">
        <v>2</v>
      </c>
      <c r="S13" s="44"/>
      <c r="T13" s="47" t="s">
        <v>1317</v>
      </c>
      <c r="U13" s="49" t="s">
        <v>1320</v>
      </c>
    </row>
    <row r="14" spans="2:21" ht="33.65" customHeight="1">
      <c r="B14" s="545"/>
      <c r="C14" s="19" t="s">
        <v>263</v>
      </c>
      <c r="D14" s="351" t="s">
        <v>1328</v>
      </c>
      <c r="E14" s="28" t="s">
        <v>1316</v>
      </c>
      <c r="F14" s="28" t="s">
        <v>1320</v>
      </c>
      <c r="G14" s="29" t="s">
        <v>1327</v>
      </c>
      <c r="H14" s="30" t="s">
        <v>1329</v>
      </c>
      <c r="J14" s="551"/>
      <c r="K14" s="41" t="s">
        <v>170</v>
      </c>
      <c r="L14" s="42">
        <v>0</v>
      </c>
      <c r="M14" s="44"/>
      <c r="N14" s="45" t="s">
        <v>172</v>
      </c>
      <c r="O14" s="42">
        <v>1</v>
      </c>
      <c r="P14" s="44"/>
      <c r="Q14" s="41" t="s">
        <v>175</v>
      </c>
      <c r="R14" s="42">
        <v>3</v>
      </c>
      <c r="S14" s="44"/>
      <c r="T14" s="47" t="s">
        <v>1317</v>
      </c>
      <c r="U14" s="49" t="s">
        <v>1320</v>
      </c>
    </row>
    <row r="15" spans="2:21" ht="33.65" customHeight="1">
      <c r="B15" s="546" t="s">
        <v>200</v>
      </c>
      <c r="C15" s="17" t="s">
        <v>1314</v>
      </c>
      <c r="D15" s="349" t="s">
        <v>1330</v>
      </c>
      <c r="E15" s="23" t="s">
        <v>1316</v>
      </c>
      <c r="F15" s="23" t="s">
        <v>1316</v>
      </c>
      <c r="G15" s="23" t="s">
        <v>1316</v>
      </c>
      <c r="H15" s="24" t="s">
        <v>1316</v>
      </c>
      <c r="J15" s="551"/>
      <c r="K15" s="41" t="s">
        <v>170</v>
      </c>
      <c r="L15" s="42">
        <v>0</v>
      </c>
      <c r="M15" s="44"/>
      <c r="N15" s="45" t="s">
        <v>172</v>
      </c>
      <c r="O15" s="42">
        <v>2</v>
      </c>
      <c r="P15" s="44"/>
      <c r="Q15" s="41" t="s">
        <v>175</v>
      </c>
      <c r="R15" s="42">
        <v>0</v>
      </c>
      <c r="S15" s="44"/>
      <c r="T15" s="47" t="s">
        <v>1317</v>
      </c>
      <c r="U15" s="49" t="s">
        <v>1320</v>
      </c>
    </row>
    <row r="16" spans="2:21" ht="33.65" customHeight="1">
      <c r="B16" s="547"/>
      <c r="C16" s="18" t="s">
        <v>181</v>
      </c>
      <c r="D16" s="350" t="s">
        <v>1331</v>
      </c>
      <c r="E16" s="25" t="s">
        <v>1316</v>
      </c>
      <c r="F16" s="25" t="s">
        <v>1320</v>
      </c>
      <c r="G16" s="25" t="s">
        <v>1320</v>
      </c>
      <c r="H16" s="26" t="s">
        <v>1320</v>
      </c>
      <c r="J16" s="551"/>
      <c r="K16" s="41" t="s">
        <v>170</v>
      </c>
      <c r="L16" s="42">
        <v>0</v>
      </c>
      <c r="M16" s="44"/>
      <c r="N16" s="45" t="s">
        <v>172</v>
      </c>
      <c r="O16" s="42">
        <v>2</v>
      </c>
      <c r="P16" s="44"/>
      <c r="Q16" s="41" t="s">
        <v>175</v>
      </c>
      <c r="R16" s="42">
        <v>1</v>
      </c>
      <c r="S16" s="44"/>
      <c r="T16" s="47" t="s">
        <v>1317</v>
      </c>
      <c r="U16" s="49" t="s">
        <v>1320</v>
      </c>
    </row>
    <row r="17" spans="2:21" ht="33.65" customHeight="1">
      <c r="B17" s="547"/>
      <c r="C17" s="18" t="s">
        <v>261</v>
      </c>
      <c r="D17" s="350" t="s">
        <v>1332</v>
      </c>
      <c r="E17" s="25" t="s">
        <v>1316</v>
      </c>
      <c r="F17" s="25" t="s">
        <v>1320</v>
      </c>
      <c r="G17" s="25" t="s">
        <v>1320</v>
      </c>
      <c r="H17" s="27" t="s">
        <v>1327</v>
      </c>
      <c r="J17" s="551"/>
      <c r="K17" s="41" t="s">
        <v>170</v>
      </c>
      <c r="L17" s="42">
        <v>0</v>
      </c>
      <c r="M17" s="44"/>
      <c r="N17" s="45" t="s">
        <v>172</v>
      </c>
      <c r="O17" s="42">
        <v>2</v>
      </c>
      <c r="P17" s="44"/>
      <c r="Q17" s="41" t="s">
        <v>175</v>
      </c>
      <c r="R17" s="42">
        <v>2</v>
      </c>
      <c r="S17" s="44"/>
      <c r="T17" s="47" t="s">
        <v>1317</v>
      </c>
      <c r="U17" s="49" t="s">
        <v>1320</v>
      </c>
    </row>
    <row r="18" spans="2:21" ht="33.65" customHeight="1">
      <c r="B18" s="547"/>
      <c r="C18" s="18" t="s">
        <v>262</v>
      </c>
      <c r="D18" s="350" t="s">
        <v>1333</v>
      </c>
      <c r="E18" s="25" t="s">
        <v>1316</v>
      </c>
      <c r="F18" s="25" t="s">
        <v>1320</v>
      </c>
      <c r="G18" s="31" t="s">
        <v>1327</v>
      </c>
      <c r="H18" s="32" t="s">
        <v>1329</v>
      </c>
      <c r="J18" s="551"/>
      <c r="K18" s="41" t="s">
        <v>170</v>
      </c>
      <c r="L18" s="42">
        <v>0</v>
      </c>
      <c r="M18" s="44"/>
      <c r="N18" s="45" t="s">
        <v>172</v>
      </c>
      <c r="O18" s="42">
        <v>2</v>
      </c>
      <c r="P18" s="44"/>
      <c r="Q18" s="41" t="s">
        <v>175</v>
      </c>
      <c r="R18" s="42">
        <v>3</v>
      </c>
      <c r="S18" s="44"/>
      <c r="T18" s="47" t="s">
        <v>1317</v>
      </c>
      <c r="U18" s="49" t="s">
        <v>1320</v>
      </c>
    </row>
    <row r="19" spans="2:21" ht="33.65" customHeight="1">
      <c r="B19" s="548"/>
      <c r="C19" s="19" t="s">
        <v>263</v>
      </c>
      <c r="D19" s="351" t="s">
        <v>1334</v>
      </c>
      <c r="E19" s="28" t="s">
        <v>1316</v>
      </c>
      <c r="F19" s="29" t="s">
        <v>1327</v>
      </c>
      <c r="G19" s="33" t="s">
        <v>1329</v>
      </c>
      <c r="H19" s="34" t="s">
        <v>175</v>
      </c>
      <c r="J19" s="551"/>
      <c r="K19" s="41" t="s">
        <v>170</v>
      </c>
      <c r="L19" s="42">
        <v>0</v>
      </c>
      <c r="M19" s="44"/>
      <c r="N19" s="45" t="s">
        <v>172</v>
      </c>
      <c r="O19" s="42">
        <v>3</v>
      </c>
      <c r="P19" s="44"/>
      <c r="Q19" s="41" t="s">
        <v>175</v>
      </c>
      <c r="R19" s="42">
        <v>0</v>
      </c>
      <c r="S19" s="44"/>
      <c r="T19" s="47" t="s">
        <v>1317</v>
      </c>
      <c r="U19" s="49" t="s">
        <v>1320</v>
      </c>
    </row>
    <row r="20" spans="2:21" ht="33.65" customHeight="1">
      <c r="B20" s="543" t="s">
        <v>180</v>
      </c>
      <c r="C20" s="17" t="s">
        <v>1314</v>
      </c>
      <c r="D20" s="349" t="s">
        <v>1335</v>
      </c>
      <c r="E20" s="23" t="s">
        <v>1316</v>
      </c>
      <c r="F20" s="23" t="s">
        <v>1316</v>
      </c>
      <c r="G20" s="23" t="s">
        <v>1316</v>
      </c>
      <c r="H20" s="24" t="s">
        <v>1316</v>
      </c>
      <c r="J20" s="551"/>
      <c r="K20" s="41" t="s">
        <v>170</v>
      </c>
      <c r="L20" s="42">
        <v>0</v>
      </c>
      <c r="M20" s="44"/>
      <c r="N20" s="45" t="s">
        <v>172</v>
      </c>
      <c r="O20" s="42">
        <v>3</v>
      </c>
      <c r="P20" s="44"/>
      <c r="Q20" s="41" t="s">
        <v>175</v>
      </c>
      <c r="R20" s="42">
        <v>1</v>
      </c>
      <c r="S20" s="44"/>
      <c r="T20" s="47" t="s">
        <v>1317</v>
      </c>
      <c r="U20" s="49" t="s">
        <v>1320</v>
      </c>
    </row>
    <row r="21" spans="2:21" ht="33.65" customHeight="1">
      <c r="B21" s="544"/>
      <c r="C21" s="18" t="s">
        <v>181</v>
      </c>
      <c r="D21" s="350" t="s">
        <v>1336</v>
      </c>
      <c r="E21" s="25" t="s">
        <v>1316</v>
      </c>
      <c r="F21" s="25" t="s">
        <v>1320</v>
      </c>
      <c r="G21" s="25" t="s">
        <v>1320</v>
      </c>
      <c r="H21" s="27" t="s">
        <v>1327</v>
      </c>
      <c r="J21" s="551"/>
      <c r="K21" s="41" t="s">
        <v>170</v>
      </c>
      <c r="L21" s="42">
        <v>0</v>
      </c>
      <c r="M21" s="44"/>
      <c r="N21" s="45" t="s">
        <v>172</v>
      </c>
      <c r="O21" s="42">
        <v>3</v>
      </c>
      <c r="P21" s="44"/>
      <c r="Q21" s="41" t="s">
        <v>175</v>
      </c>
      <c r="R21" s="42">
        <v>2</v>
      </c>
      <c r="S21" s="44"/>
      <c r="T21" s="47" t="s">
        <v>1317</v>
      </c>
      <c r="U21" s="49" t="s">
        <v>1320</v>
      </c>
    </row>
    <row r="22" spans="2:21" ht="33.65" customHeight="1">
      <c r="B22" s="544"/>
      <c r="C22" s="18" t="s">
        <v>261</v>
      </c>
      <c r="D22" s="350" t="s">
        <v>1337</v>
      </c>
      <c r="E22" s="25" t="s">
        <v>1316</v>
      </c>
      <c r="F22" s="25" t="s">
        <v>1320</v>
      </c>
      <c r="G22" s="31" t="s">
        <v>1327</v>
      </c>
      <c r="H22" s="32" t="s">
        <v>1329</v>
      </c>
      <c r="J22" s="551"/>
      <c r="K22" s="41" t="s">
        <v>170</v>
      </c>
      <c r="L22" s="42">
        <v>0</v>
      </c>
      <c r="M22" s="44"/>
      <c r="N22" s="45" t="s">
        <v>172</v>
      </c>
      <c r="O22" s="42">
        <v>3</v>
      </c>
      <c r="P22" s="44"/>
      <c r="Q22" s="41" t="s">
        <v>175</v>
      </c>
      <c r="R22" s="42">
        <v>3</v>
      </c>
      <c r="S22" s="44"/>
      <c r="T22" s="47" t="s">
        <v>1317</v>
      </c>
      <c r="U22" s="49" t="s">
        <v>1320</v>
      </c>
    </row>
    <row r="23" spans="2:21" ht="33.65" customHeight="1">
      <c r="B23" s="544"/>
      <c r="C23" s="18" t="s">
        <v>262</v>
      </c>
      <c r="D23" s="350" t="s">
        <v>1338</v>
      </c>
      <c r="E23" s="25" t="s">
        <v>1316</v>
      </c>
      <c r="F23" s="31" t="s">
        <v>1327</v>
      </c>
      <c r="G23" s="35" t="s">
        <v>1329</v>
      </c>
      <c r="H23" s="36" t="s">
        <v>175</v>
      </c>
      <c r="J23" s="551"/>
      <c r="K23" s="41" t="s">
        <v>170</v>
      </c>
      <c r="L23" s="42">
        <v>0</v>
      </c>
      <c r="M23" s="44"/>
      <c r="N23" s="45" t="s">
        <v>172</v>
      </c>
      <c r="O23" s="42">
        <v>4</v>
      </c>
      <c r="P23" s="44"/>
      <c r="Q23" s="41" t="s">
        <v>175</v>
      </c>
      <c r="R23" s="42">
        <v>0</v>
      </c>
      <c r="S23" s="44"/>
      <c r="T23" s="47" t="s">
        <v>1317</v>
      </c>
      <c r="U23" s="49" t="s">
        <v>1320</v>
      </c>
    </row>
    <row r="24" spans="2:21" ht="33.65" customHeight="1">
      <c r="B24" s="549"/>
      <c r="C24" s="20" t="s">
        <v>263</v>
      </c>
      <c r="D24" s="352" t="s">
        <v>1339</v>
      </c>
      <c r="E24" s="37" t="s">
        <v>1316</v>
      </c>
      <c r="F24" s="38" t="s">
        <v>1329</v>
      </c>
      <c r="G24" s="39" t="s">
        <v>175</v>
      </c>
      <c r="H24" s="40" t="s">
        <v>1340</v>
      </c>
      <c r="J24" s="551"/>
      <c r="K24" s="41" t="s">
        <v>170</v>
      </c>
      <c r="L24" s="42">
        <v>0</v>
      </c>
      <c r="M24" s="44"/>
      <c r="N24" s="45" t="s">
        <v>172</v>
      </c>
      <c r="O24" s="42">
        <v>4</v>
      </c>
      <c r="P24" s="44"/>
      <c r="Q24" s="41" t="s">
        <v>175</v>
      </c>
      <c r="R24" s="42">
        <v>1</v>
      </c>
      <c r="S24" s="44"/>
      <c r="T24" s="47" t="s">
        <v>1317</v>
      </c>
      <c r="U24" s="49" t="s">
        <v>1320</v>
      </c>
    </row>
    <row r="25" spans="2:21" ht="21">
      <c r="J25" s="551"/>
      <c r="K25" s="41" t="s">
        <v>170</v>
      </c>
      <c r="L25" s="42">
        <v>0</v>
      </c>
      <c r="M25" s="44"/>
      <c r="N25" s="45" t="s">
        <v>172</v>
      </c>
      <c r="O25" s="42">
        <v>4</v>
      </c>
      <c r="P25" s="44"/>
      <c r="Q25" s="41" t="s">
        <v>175</v>
      </c>
      <c r="R25" s="42">
        <v>2</v>
      </c>
      <c r="S25" s="44"/>
      <c r="T25" s="47" t="s">
        <v>1317</v>
      </c>
      <c r="U25" s="49" t="s">
        <v>1320</v>
      </c>
    </row>
  </sheetData>
  <sheetProtection formatCells="0" formatColumns="0" formatRows="0" insertColumns="0" insertRows="0" insertHyperlinks="0" deleteColumns="0" deleteRows="0" sort="0" autoFilter="0" pivotTables="0"/>
  <mergeCells count="9">
    <mergeCell ref="K4:L4"/>
    <mergeCell ref="N4:O4"/>
    <mergeCell ref="Q4:R4"/>
    <mergeCell ref="B5:B9"/>
    <mergeCell ref="B10:B14"/>
    <mergeCell ref="B15:B19"/>
    <mergeCell ref="B20:B24"/>
    <mergeCell ref="J4:J25"/>
    <mergeCell ref="B2:H3"/>
  </mergeCells>
  <phoneticPr fontId="52" type="noConversion"/>
  <conditionalFormatting sqref="N5:N25">
    <cfRule type="cellIs" dxfId="5" priority="4" stopIfTrue="1" operator="equal">
      <formula>"QM"</formula>
    </cfRule>
    <cfRule type="cellIs" dxfId="4" priority="5" stopIfTrue="1" operator="equal">
      <formula>"D"</formula>
    </cfRule>
    <cfRule type="cellIs" dxfId="3" priority="6" stopIfTrue="1" operator="equal">
      <formula>"C"</formula>
    </cfRule>
  </conditionalFormatting>
  <conditionalFormatting sqref="T5:T25">
    <cfRule type="cellIs" dxfId="2" priority="1" stopIfTrue="1" operator="equal">
      <formula>"D"</formula>
    </cfRule>
    <cfRule type="cellIs" dxfId="1" priority="2" stopIfTrue="1" operator="equal">
      <formula>"QM"</formula>
    </cfRule>
    <cfRule type="cellIs" dxfId="0" priority="3" stopIfTrue="1" operator="equal">
      <formula>"C"</formula>
    </cfRule>
  </conditionalFormatting>
  <dataValidations count="2">
    <dataValidation type="list" showInputMessage="1" showErrorMessage="1" errorTitle="Wrong Input Data" error="Valid Input: -, 0, 1, 2, 3" sqref="L5:M25 R5:S25" xr:uid="{00000000-0002-0000-0C00-000000000000}">
      <formula1>"-,0,1,2,3"</formula1>
    </dataValidation>
    <dataValidation type="list" showInputMessage="1" showErrorMessage="1" errorTitle="Wrong Input Data" error="Valid Input: -, 0, 1, 2, 3, 4" sqref="O5:P25" xr:uid="{00000000-0002-0000-0C00-000001000000}">
      <formula1>"-,0,1,2,3,4"</formula1>
    </dataValidation>
  </dataValidations>
  <pageMargins left="0.70866141732283505" right="0.70866141732283505" top="0.78740157480314998" bottom="0.78740157480314998" header="0.31496062992126" footer="0.31496062992126"/>
  <pageSetup paperSize="9" scale="52" orientation="portrait"/>
  <headerFooter>
    <oddHeader>&amp;L&amp;"Calibri"&amp;11&amp;K000000&amp;"Arial,Standard"&amp;12Dok-Bez.:&amp;K00B0F0 &lt;DMS-Dateiname&gt;&amp;K01+000
DMS Nr.: &amp;K00B0F0&lt;DMS-Nr.&gt;&amp;K01+000
&amp;R&amp;"Calibri"&amp;11&amp;K000000&amp;"Arial,Standard"&amp;12Dok-Bez.:&amp;K00B0F0 &lt;DMS-Dateiname&gt;&amp;K01+000
DMS Nr.: &amp;K00B0F0&lt;DMS-Nr.&gt;&amp;K01+000</oddHeader>
    <oddFooter>&amp;L&amp;"Arial,Standard"Technische Entwicklung
Volkswagen&amp;C&amp;"Arial,Standard"Entwicklung Fahrwerk (EF)
&amp;K00B0F0&lt;Fachabteilung&gt; (EFXX)</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5"/>
  <sheetViews>
    <sheetView workbookViewId="0">
      <selection activeCell="J11" sqref="J11"/>
    </sheetView>
  </sheetViews>
  <sheetFormatPr defaultColWidth="10.9140625" defaultRowHeight="14"/>
  <cols>
    <col min="1" max="2" width="12" customWidth="1"/>
    <col min="3" max="3" width="12.1640625" customWidth="1"/>
    <col min="4" max="5" width="14.75" customWidth="1"/>
    <col min="6" max="6" width="13.4140625" customWidth="1"/>
    <col min="7" max="8" width="14" customWidth="1"/>
    <col min="9" max="10" width="14.75" customWidth="1"/>
    <col min="11" max="11" width="13.4140625" customWidth="1"/>
    <col min="12" max="12" width="14.83203125" customWidth="1"/>
  </cols>
  <sheetData>
    <row r="1" spans="1:12" ht="15.5">
      <c r="A1" s="560" t="s">
        <v>1341</v>
      </c>
      <c r="B1" s="561"/>
      <c r="C1" s="561"/>
      <c r="D1" s="561"/>
      <c r="E1" s="562"/>
      <c r="G1" s="563" t="s">
        <v>122</v>
      </c>
      <c r="H1" s="563"/>
      <c r="I1" s="563"/>
      <c r="J1" s="563"/>
      <c r="L1" s="4"/>
    </row>
    <row r="2" spans="1:12">
      <c r="A2" s="3" t="s">
        <v>1342</v>
      </c>
      <c r="B2" s="3" t="s">
        <v>1343</v>
      </c>
      <c r="C2" s="3" t="s">
        <v>1344</v>
      </c>
      <c r="D2" s="3" t="s">
        <v>1345</v>
      </c>
      <c r="E2" s="3" t="s">
        <v>1346</v>
      </c>
      <c r="G2" s="3" t="s">
        <v>122</v>
      </c>
      <c r="H2" s="3" t="s">
        <v>1347</v>
      </c>
      <c r="I2" s="3" t="s">
        <v>1348</v>
      </c>
      <c r="J2" s="3" t="s">
        <v>1349</v>
      </c>
      <c r="L2" s="3" t="s">
        <v>1350</v>
      </c>
    </row>
    <row r="3" spans="1:12">
      <c r="A3" s="4" t="s">
        <v>198</v>
      </c>
      <c r="B3" s="4" t="s">
        <v>1314</v>
      </c>
      <c r="C3" s="4" t="s">
        <v>351</v>
      </c>
      <c r="D3" s="4" t="s">
        <v>1320</v>
      </c>
      <c r="E3" s="4" t="s">
        <v>1351</v>
      </c>
      <c r="G3" s="4" t="s">
        <v>4</v>
      </c>
      <c r="H3" s="7">
        <v>1</v>
      </c>
      <c r="I3" s="4" t="s">
        <v>1352</v>
      </c>
      <c r="J3" s="4" t="s">
        <v>1352</v>
      </c>
      <c r="L3" s="8" t="s">
        <v>126</v>
      </c>
    </row>
    <row r="4" spans="1:12">
      <c r="A4" s="4" t="s">
        <v>199</v>
      </c>
      <c r="B4" s="4" t="s">
        <v>181</v>
      </c>
      <c r="C4" s="4" t="s">
        <v>352</v>
      </c>
      <c r="D4" s="4" t="s">
        <v>1353</v>
      </c>
      <c r="E4" s="4" t="s">
        <v>1354</v>
      </c>
      <c r="G4" s="4" t="s">
        <v>1355</v>
      </c>
      <c r="H4" s="7">
        <v>2</v>
      </c>
      <c r="I4" s="4" t="s">
        <v>4</v>
      </c>
      <c r="J4" s="4" t="s">
        <v>4</v>
      </c>
      <c r="L4" s="9" t="s">
        <v>1356</v>
      </c>
    </row>
    <row r="5" spans="1:12">
      <c r="A5" s="4" t="s">
        <v>200</v>
      </c>
      <c r="B5" s="4" t="s">
        <v>261</v>
      </c>
      <c r="C5" s="4" t="s">
        <v>182</v>
      </c>
      <c r="D5" s="4" t="s">
        <v>1357</v>
      </c>
      <c r="E5" s="4"/>
      <c r="G5" s="4" t="s">
        <v>1358</v>
      </c>
      <c r="H5" s="7">
        <v>3</v>
      </c>
      <c r="I5" s="4" t="s">
        <v>1359</v>
      </c>
      <c r="J5" s="4" t="s">
        <v>1359</v>
      </c>
      <c r="L5" s="10" t="s">
        <v>130</v>
      </c>
    </row>
    <row r="6" spans="1:12">
      <c r="A6" s="4" t="s">
        <v>180</v>
      </c>
      <c r="B6" s="4" t="s">
        <v>262</v>
      </c>
      <c r="C6" s="4" t="s">
        <v>353</v>
      </c>
      <c r="D6" s="4" t="s">
        <v>1360</v>
      </c>
      <c r="E6" s="4"/>
      <c r="G6" s="4"/>
      <c r="H6" s="4"/>
      <c r="I6" s="5"/>
      <c r="J6" s="4" t="s">
        <v>1361</v>
      </c>
      <c r="L6" s="10" t="s">
        <v>132</v>
      </c>
    </row>
    <row r="7" spans="1:12">
      <c r="A7" s="5"/>
      <c r="B7" s="4" t="s">
        <v>263</v>
      </c>
      <c r="C7" s="4"/>
      <c r="D7" s="4" t="s">
        <v>1362</v>
      </c>
      <c r="E7" s="4"/>
      <c r="G7" s="4"/>
      <c r="H7" s="4"/>
      <c r="I7" s="5"/>
      <c r="J7" s="5"/>
      <c r="L7" s="10" t="s">
        <v>134</v>
      </c>
    </row>
    <row r="8" spans="1:12">
      <c r="A8" s="6"/>
      <c r="D8" s="6"/>
      <c r="E8" s="6"/>
      <c r="I8" s="6"/>
      <c r="J8" s="6"/>
      <c r="L8" s="10" t="s">
        <v>136</v>
      </c>
    </row>
    <row r="9" spans="1:12">
      <c r="I9" s="6"/>
      <c r="J9" s="6"/>
      <c r="L9" s="11" t="s">
        <v>138</v>
      </c>
    </row>
    <row r="10" spans="1:12">
      <c r="A10" s="6"/>
      <c r="D10" s="6"/>
      <c r="E10" s="6"/>
      <c r="I10" s="6"/>
      <c r="J10" s="6"/>
      <c r="L10" s="10" t="s">
        <v>140</v>
      </c>
    </row>
    <row r="11" spans="1:12">
      <c r="A11" s="6"/>
      <c r="D11" s="6"/>
      <c r="E11" s="6"/>
      <c r="I11" s="6"/>
      <c r="J11" s="6"/>
      <c r="L11" s="10" t="s">
        <v>142</v>
      </c>
    </row>
    <row r="12" spans="1:12">
      <c r="A12" s="6"/>
      <c r="D12" s="6"/>
      <c r="E12" s="6"/>
      <c r="I12" s="6"/>
      <c r="J12" s="6"/>
      <c r="L12" s="10" t="s">
        <v>144</v>
      </c>
    </row>
    <row r="13" spans="1:12">
      <c r="A13" s="6"/>
      <c r="D13" s="6"/>
      <c r="E13" s="6"/>
      <c r="I13" s="6"/>
      <c r="J13" s="6"/>
      <c r="L13" s="10" t="s">
        <v>146</v>
      </c>
    </row>
    <row r="14" spans="1:12">
      <c r="A14" s="6"/>
      <c r="D14" s="6"/>
      <c r="E14" s="6"/>
      <c r="I14" s="6"/>
      <c r="J14" s="6"/>
      <c r="L14" s="10" t="s">
        <v>148</v>
      </c>
    </row>
    <row r="15" spans="1:12">
      <c r="A15" s="6"/>
      <c r="D15" s="6"/>
      <c r="E15" s="6"/>
      <c r="I15" s="6"/>
      <c r="J15" s="6"/>
      <c r="L15" s="10" t="s">
        <v>150</v>
      </c>
    </row>
    <row r="16" spans="1:12">
      <c r="A16" s="6"/>
      <c r="D16" s="6"/>
      <c r="E16" s="6"/>
      <c r="I16" s="6"/>
      <c r="J16" s="6"/>
      <c r="L16" s="12" t="s">
        <v>152</v>
      </c>
    </row>
    <row r="17" spans="1:10">
      <c r="A17" s="6"/>
      <c r="D17" s="6"/>
      <c r="E17" s="6"/>
      <c r="I17" s="6"/>
      <c r="J17" s="6"/>
    </row>
    <row r="18" spans="1:10">
      <c r="A18" s="6"/>
      <c r="D18" s="6"/>
      <c r="E18" s="6"/>
      <c r="I18" s="6"/>
      <c r="J18" s="6"/>
    </row>
    <row r="19" spans="1:10">
      <c r="A19" s="6"/>
      <c r="D19" s="6"/>
      <c r="E19" s="6"/>
      <c r="I19" s="6"/>
      <c r="J19" s="6"/>
    </row>
    <row r="20" spans="1:10">
      <c r="A20" s="6"/>
      <c r="D20" s="6"/>
      <c r="E20" s="6"/>
      <c r="I20" s="6"/>
      <c r="J20" s="6"/>
    </row>
    <row r="21" spans="1:10">
      <c r="A21" s="6"/>
      <c r="D21" s="6"/>
      <c r="E21" s="6"/>
      <c r="I21" s="6"/>
      <c r="J21" s="6"/>
    </row>
    <row r="22" spans="1:10">
      <c r="A22" s="6"/>
      <c r="D22" s="6"/>
      <c r="E22" s="6"/>
      <c r="I22" s="6"/>
      <c r="J22" s="6"/>
    </row>
    <row r="23" spans="1:10">
      <c r="A23" s="6"/>
      <c r="D23" s="6"/>
      <c r="E23" s="6"/>
      <c r="I23" s="6"/>
      <c r="J23" s="6"/>
    </row>
    <row r="24" spans="1:10">
      <c r="A24" s="6"/>
      <c r="D24" s="6"/>
      <c r="E24" s="6"/>
      <c r="I24" s="6"/>
      <c r="J24" s="6"/>
    </row>
    <row r="25" spans="1:10">
      <c r="A25" s="6"/>
      <c r="D25" s="6"/>
      <c r="E25" s="6"/>
      <c r="I25" s="6"/>
      <c r="J25" s="6"/>
    </row>
  </sheetData>
  <sheetProtection formatCells="0" formatColumns="0" formatRows="0" insertColumns="0" insertRows="0" insertHyperlinks="0" deleteColumns="0" deleteRows="0" sort="0" autoFilter="0" pivotTables="0"/>
  <mergeCells count="2">
    <mergeCell ref="A1:E1"/>
    <mergeCell ref="G1:J1"/>
  </mergeCells>
  <phoneticPr fontId="52" type="noConversion"/>
  <pageMargins left="0.70866141732283505" right="0.70866141732283505" top="0.78740157480314998" bottom="0.78740157480314998" header="0.31496062992126" footer="0.31496062992126"/>
  <pageSetup paperSize="9" scale="49" orientation="portrait" horizontalDpi="90" verticalDpi="90"/>
  <headerFooter>
    <oddHeader>&amp;L&amp;"Calibri"&amp;10&amp;K000000 INTERNAL&amp;1#_x000D_</oddHeader>
    <oddFooter>&amp;L&amp;"Arial,Standard"Technische Entwicklung
Volkswagen&amp;C&amp;"Arial,Standard"Entwicklung Fahrwerk (EF)
&amp;K00B0F0&lt;Fachabteilung&gt; (EFXX)&amp;R&amp;"Arial,Standard" &amp;K00B0F0EF_VL_Gefahren_und_Risikoanalyse_&lt;Zielfahrzeugprojekt&gt;
DMS: #xxxxxxx (VXX)</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F19"/>
  <sheetViews>
    <sheetView workbookViewId="0">
      <selection activeCell="I9" sqref="H9:I9"/>
    </sheetView>
  </sheetViews>
  <sheetFormatPr defaultColWidth="9" defaultRowHeight="14"/>
  <cols>
    <col min="2" max="2" width="38.5" customWidth="1"/>
    <col min="3" max="4" width="36" customWidth="1"/>
    <col min="5" max="5" width="35.08203125" customWidth="1"/>
    <col min="6" max="6" width="25" customWidth="1"/>
  </cols>
  <sheetData>
    <row r="2" spans="2:6">
      <c r="B2" s="1" t="s">
        <v>1418</v>
      </c>
      <c r="C2" s="1" t="s">
        <v>1363</v>
      </c>
      <c r="D2" s="1" t="s">
        <v>1364</v>
      </c>
      <c r="E2" s="1" t="s">
        <v>1365</v>
      </c>
      <c r="F2" s="1" t="s">
        <v>1366</v>
      </c>
    </row>
    <row r="3" spans="2:6" ht="15">
      <c r="B3" s="2" t="s">
        <v>1372</v>
      </c>
      <c r="C3" s="2" t="s">
        <v>1383</v>
      </c>
      <c r="D3" s="2" t="s">
        <v>1369</v>
      </c>
      <c r="E3" s="2" t="s">
        <v>1384</v>
      </c>
      <c r="F3" s="2" t="s">
        <v>1385</v>
      </c>
    </row>
    <row r="4" spans="2:6" ht="15">
      <c r="B4" s="2" t="s">
        <v>1374</v>
      </c>
      <c r="C4" s="2" t="s">
        <v>1386</v>
      </c>
      <c r="D4" s="2" t="s">
        <v>1373</v>
      </c>
      <c r="E4" s="2" t="s">
        <v>1387</v>
      </c>
      <c r="F4" s="2" t="s">
        <v>1388</v>
      </c>
    </row>
    <row r="5" spans="2:6" ht="15">
      <c r="B5" s="2" t="s">
        <v>1376</v>
      </c>
      <c r="C5" s="2" t="s">
        <v>1389</v>
      </c>
      <c r="D5" s="2" t="s">
        <v>1375</v>
      </c>
      <c r="E5" s="2" t="s">
        <v>1390</v>
      </c>
      <c r="F5" s="2" t="s">
        <v>1391</v>
      </c>
    </row>
    <row r="6" spans="2:6" ht="29">
      <c r="B6" s="2" t="s">
        <v>1419</v>
      </c>
      <c r="C6" s="2" t="s">
        <v>1392</v>
      </c>
      <c r="D6" s="2" t="s">
        <v>1377</v>
      </c>
      <c r="E6" s="2" t="s">
        <v>1393</v>
      </c>
      <c r="F6" s="2" t="s">
        <v>1394</v>
      </c>
    </row>
    <row r="7" spans="2:6" ht="29">
      <c r="B7" s="2" t="s">
        <v>1420</v>
      </c>
      <c r="C7" s="2" t="s">
        <v>1395</v>
      </c>
      <c r="D7" s="2" t="s">
        <v>1378</v>
      </c>
      <c r="E7" s="2" t="s">
        <v>1396</v>
      </c>
      <c r="F7" s="2" t="s">
        <v>1397</v>
      </c>
    </row>
    <row r="8" spans="2:6" ht="15">
      <c r="B8" s="2" t="s">
        <v>1380</v>
      </c>
      <c r="C8" s="2" t="s">
        <v>1398</v>
      </c>
      <c r="D8" s="2" t="s">
        <v>1379</v>
      </c>
      <c r="E8" s="2" t="s">
        <v>1399</v>
      </c>
      <c r="F8" s="2" t="s">
        <v>1400</v>
      </c>
    </row>
    <row r="9" spans="2:6" ht="15">
      <c r="B9" s="2" t="s">
        <v>1421</v>
      </c>
      <c r="C9" s="2" t="s">
        <v>1401</v>
      </c>
      <c r="D9" s="2"/>
      <c r="E9" s="2" t="s">
        <v>1402</v>
      </c>
      <c r="F9" s="2" t="s">
        <v>1403</v>
      </c>
    </row>
    <row r="10" spans="2:6" ht="29">
      <c r="B10" s="2" t="s">
        <v>1422</v>
      </c>
      <c r="C10" s="2" t="s">
        <v>1404</v>
      </c>
      <c r="D10" s="2"/>
      <c r="E10" s="2" t="s">
        <v>1405</v>
      </c>
      <c r="F10" s="2" t="s">
        <v>1406</v>
      </c>
    </row>
    <row r="11" spans="2:6" ht="15">
      <c r="B11" s="2" t="s">
        <v>1423</v>
      </c>
      <c r="C11" s="2" t="s">
        <v>1407</v>
      </c>
      <c r="D11" s="2"/>
      <c r="E11" s="2" t="s">
        <v>1408</v>
      </c>
      <c r="F11" s="2"/>
    </row>
    <row r="12" spans="2:6" ht="29">
      <c r="B12" s="2" t="s">
        <v>1381</v>
      </c>
      <c r="C12" s="2" t="s">
        <v>1409</v>
      </c>
      <c r="D12" s="2"/>
      <c r="E12" s="2" t="s">
        <v>1410</v>
      </c>
      <c r="F12" s="2"/>
    </row>
    <row r="13" spans="2:6" ht="15">
      <c r="B13" s="2" t="s">
        <v>1382</v>
      </c>
      <c r="C13" s="2" t="s">
        <v>1411</v>
      </c>
      <c r="D13" s="2"/>
      <c r="E13" s="2" t="s">
        <v>1412</v>
      </c>
      <c r="F13" s="2"/>
    </row>
    <row r="14" spans="2:6" ht="15">
      <c r="B14" s="2"/>
      <c r="C14" s="2" t="s">
        <v>1413</v>
      </c>
      <c r="D14" s="2"/>
      <c r="E14" s="2" t="s">
        <v>1414</v>
      </c>
      <c r="F14" s="2"/>
    </row>
    <row r="15" spans="2:6" ht="29">
      <c r="B15" s="2"/>
      <c r="C15" s="2" t="s">
        <v>1415</v>
      </c>
      <c r="D15" s="2"/>
      <c r="E15" s="2" t="s">
        <v>1416</v>
      </c>
      <c r="F15" s="2"/>
    </row>
    <row r="16" spans="2:6" ht="15">
      <c r="B16" s="2"/>
      <c r="C16" s="2" t="s">
        <v>1417</v>
      </c>
      <c r="D16" s="2"/>
      <c r="E16" s="2"/>
      <c r="F16" s="2"/>
    </row>
    <row r="17" spans="2:6" ht="15">
      <c r="B17" s="2"/>
      <c r="C17" s="2"/>
      <c r="D17" s="2"/>
      <c r="E17" s="2"/>
      <c r="F17" s="2"/>
    </row>
    <row r="18" spans="2:6" ht="36.75" customHeight="1">
      <c r="B18" s="2" t="s">
        <v>1367</v>
      </c>
      <c r="C18" s="2" t="s">
        <v>1368</v>
      </c>
      <c r="D18" s="2"/>
      <c r="E18" s="2" t="s">
        <v>1370</v>
      </c>
      <c r="F18" s="2" t="s">
        <v>1371</v>
      </c>
    </row>
    <row r="19" spans="2:6" ht="15">
      <c r="B19" s="2"/>
      <c r="C19" s="2"/>
      <c r="D19" s="2"/>
      <c r="E19" s="2"/>
      <c r="F19" s="2"/>
    </row>
  </sheetData>
  <sheetProtection formatCells="0" formatColumns="0" formatRows="0" insertColumns="0" insertRows="0" insertHyperlinks="0" deleteColumns="0" deleteRows="0" sort="0" autoFilter="0" pivotTables="0"/>
  <phoneticPr fontId="52" type="noConversion"/>
  <pageMargins left="0.75" right="0.75" top="1" bottom="1" header="0.5" footer="0.5"/>
  <headerFooter>
    <oddHeader>&amp;L&amp;"Calibri"&amp;10&amp;K000000 INTERNAL&amp;1#_x000D_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ixelators xmlns="https://web.wps.cn/et/2018/main" xmlns:s="http://schemas.openxmlformats.org/spreadsheetml/2006/main">
  <pixelatorList sheetStid="17"/>
  <pixelatorList sheetStid="27"/>
  <pixelatorList sheetStid="4"/>
  <pixelatorList sheetStid="18"/>
  <pixelatorList sheetStid="22"/>
  <pixelatorList sheetStid="20"/>
  <pixelatorList sheetStid="12"/>
  <pixelatorList sheetStid="25"/>
  <pixelatorList sheetStid="26"/>
  <pixelatorList sheetStid="23"/>
  <pixelatorList sheetStid="11"/>
  <pixelatorList sheetStid="24"/>
  <pixelatorList sheetStid="13"/>
  <pixelatorList sheetStid="8"/>
  <pixelatorList sheetStid="29"/>
  <pixelatorList sheetStid="30"/>
</pixelators>
</file>

<file path=customXml/item2.xml><?xml version="1.0" encoding="utf-8"?>
<woProps xmlns="https://web.wps.cn/et/2018/main" xmlns:s="http://schemas.openxmlformats.org/spreadsheetml/2006/main">
  <woSheetsProps>
    <woSheetProps sheetStid="17"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18"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29"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3.xml><?xml version="1.0" encoding="utf-8"?>
<comments xmlns="https://web.wps.cn/et/2018/main" xmlns:s="http://schemas.openxmlformats.org/spreadsheetml/2006/main">
  <commentList sheetStid="22">
    <commentChains s:ref="J7" rgbClr="FF0000">
      <unresolved>
        <commentChain chainId="06eaaba26796686f7573be2c8de5276154e80b74">
          <item id="cdb3fa11717de67b7217bdb5ca1788a89c271940" isNormal="1">
            <s:text>
              <s:r>
                <s:t xml:space="preserve">[线程批注]
你的Excel版本可读取此线程批注; 但如果在更新版本的Excel中打开文件，则对批注所作的任何改动都将被删除。了解详细信息: https://go.microsoft.com/fwlink/?linkid=870924
注释:
    根据Hazard 和 Severity判断严重度数值。</s:t>
              </s:r>
            </s:text>
          </item>
        </commentChain>
      </unresolved>
      <resolved/>
    </commentChains>
    <commentChains s:ref="L7" rgbClr="FF0000">
      <unresolved>
        <commentChain chainId="1d2faacd07070d6f37798dca7f307907df67e927">
          <item id="1a372472be11083204fd3d48706d5bcf3647ffc2" isNormal="1">
            <s:text>
              <s:r>
                <s:t xml:space="preserve">[线程批注]
你的Excel版本可读取此线程批注; 但如果在更新版本的Excel中打开文件，则对批注所作的任何改动都将被删除。了解详细信息: https://go.microsoft.com/fwlink/?linkid=870924
注释:
    根据 场景和VDA702 summary获取E值，和类型。</s:t>
              </s:r>
            </s:text>
          </item>
        </commentChain>
      </unresolved>
      <resolved/>
    </commentChains>
    <commentChains s:ref="O7" rgbClr="FF0000">
      <unresolved>
        <commentChain chainId="dc1e9e1f6704e2a5f68f22bbaeaaf7ede2565484">
          <item id="4e558676ff8f520730b2bf3b7a57a05d075ea340" isNormal="1">
            <s:text>
              <s:r>
                <s:t xml:space="preserve">[线程批注]
你的Excel版本可读取此线程批注; 但如果在更新版本的Excel中打开文件，则对批注所作的任何改动都将被删除。了解详细信息: https://go.microsoft.com/fwlink/?linkid=870924
注释:
    根据Controllability填写可控性值。</s:t>
              </s:r>
            </s:text>
          </item>
        </commentChain>
      </unresolved>
      <resolved/>
    </commentChains>
    <commentChains s:ref="Q7" rgbClr="FF0000">
      <unresolved>
        <commentChain chainId="2cd4a5b98de351fe8cd26f84395ce7c54479f7a4">
          <item id="a7bff0cdbe084474234452ce10f361eb6d2bdc88" isNormal="1">
            <s:text>
              <s:r>
                <s:t xml:space="preserve">[线程批注]
你的Excel版本可读取此线程批注; 但如果在更新版本的Excel中打开文件，则对批注所作的任何改动都将被删除。了解详细信息: https://go.microsoft.com/fwlink/?linkid=870924
注释:
    根据SEC值和ASIL_Table计算ASIL等级。</s:t>
              </s:r>
            </s:text>
          </item>
        </commentChain>
      </unresolved>
      <resolved/>
    </commentChains>
    <commentChains s:ref="S7" rgbClr="FF0000">
      <unresolved>
        <commentChain chainId="86f8fa32eb4a7863ea2dbb6767a888b28cd55fb2">
          <item id="f472599aad4abf594eb51b60cfe7c9e6cace5c31" isNormal="1">
            <s:text>
              <s:r>
                <s:t xml:space="preserve">[线程批注]
你的Excel版本可读取此线程批注; 但如果在更新版本的Excel中打开文件，则对批注所作的任何改动都将被删除。了解详细信息: https://go.microsoft.com/fwlink/?linkid=870924
注释:
    根据上下文填写序号，如SG-01</s:t>
              </s:r>
            </s:text>
          </item>
        </commentChain>
      </unresolved>
      <resolved/>
    </commentChains>
  </commentList>
</comment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docMetadata/LabelInfo.xml><?xml version="1.0" encoding="utf-8"?>
<clbl:labelList xmlns:clbl="http://schemas.microsoft.com/office/2020/mipLabelMetadata">
  <clbl:label id="{b0ff92c5-92ff-43fe-a760-6a9303f9073d}" enabled="1" method="Standard" siteId="{1272ef7d-0a4c-4c35-8f4b-416e283c5d59}"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15</vt:i4>
      </vt:variant>
      <vt:variant>
        <vt:lpstr>命名范围</vt:lpstr>
      </vt:variant>
      <vt:variant>
        <vt:i4>11</vt:i4>
      </vt:variant>
    </vt:vector>
  </HeadingPairs>
  <TitlesOfParts>
    <vt:vector size="26" baseType="lpstr">
      <vt:lpstr>0_Document Information</vt:lpstr>
      <vt:lpstr>AI-process</vt:lpstr>
      <vt:lpstr>01_Change History</vt:lpstr>
      <vt:lpstr>04_HAZOP</vt:lpstr>
      <vt:lpstr>05_HARA</vt:lpstr>
      <vt:lpstr>06_Safety Goal</vt:lpstr>
      <vt:lpstr>Severity</vt:lpstr>
      <vt:lpstr>Exposure</vt:lpstr>
      <vt:lpstr>Controllability</vt:lpstr>
      <vt:lpstr>VDA702 Summary</vt:lpstr>
      <vt:lpstr>10_SitKat_alt</vt:lpstr>
      <vt:lpstr>VDA702 Full</vt:lpstr>
      <vt:lpstr>ASIL_Table</vt:lpstr>
      <vt:lpstr>Werte</vt:lpstr>
      <vt:lpstr>Scenarios_Library</vt:lpstr>
      <vt:lpstr>ASIL_Einstufung</vt:lpstr>
      <vt:lpstr>C_Parameter</vt:lpstr>
      <vt:lpstr>E_Kategorie</vt:lpstr>
      <vt:lpstr>E_Parameter</vt:lpstr>
      <vt:lpstr>Guide_Word</vt:lpstr>
      <vt:lpstr>I3_Status</vt:lpstr>
      <vt:lpstr>OPL_Prio</vt:lpstr>
      <vt:lpstr>OPL_Status</vt:lpstr>
      <vt:lpstr>S_Parameter</vt:lpstr>
      <vt:lpstr>Status</vt:lpstr>
      <vt:lpstr>'10_SitKat_alt'!Verkehrsort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Siegmund, Luca Erik</dc:creator>
  <cp:lastModifiedBy>Han, Shuo (VCTC-AAF)</cp:lastModifiedBy>
  <cp:lastPrinted>2024-07-30T01:01:00Z</cp:lastPrinted>
  <dcterms:created xsi:type="dcterms:W3CDTF">2015-06-10T10:19:00Z</dcterms:created>
  <dcterms:modified xsi:type="dcterms:W3CDTF">2026-06-03T06:52:01Z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0x0101009CBF4EFD32413542976FAA0D3925EB1E</vt:lpwstr>
  </property>
  <property fmtid="{D5CDD505-2E9C-101B-9397-08002B2CF9AE}" pid="3" name="RevIMBCS">
    <vt:lpwstr>1;#0.1 Initial category|0239cc7a-0c96-48a8-9e0e-a383e362571c</vt:lpwstr>
  </property>
  <property fmtid="{D5CDD505-2E9C-101B-9397-08002B2CF9AE}" pid="4" name="LegalHoldTag">
    <vt:lpwstr/>
  </property>
  <property fmtid="{D5CDD505-2E9C-101B-9397-08002B2CF9AE}" pid="5" name="MSIP_Label_b1c9b508-7c6e-42bd-bedf-808292653d6c_Enabled">
    <vt:lpwstr>true</vt:lpwstr>
  </property>
  <property fmtid="{D5CDD505-2E9C-101B-9397-08002B2CF9AE}" pid="6" name="MSIP_Label_b1c9b508-7c6e-42bd-bedf-808292653d6c_SetDate">
    <vt:lpwstr>2023-12-15T14:38:12Z</vt:lpwstr>
  </property>
  <property fmtid="{D5CDD505-2E9C-101B-9397-08002B2CF9AE}" pid="7" name="MSIP_Label_b1c9b508-7c6e-42bd-bedf-808292653d6c_Method">
    <vt:lpwstr>Standard</vt:lpwstr>
  </property>
  <property fmtid="{D5CDD505-2E9C-101B-9397-08002B2CF9AE}" pid="8" name="MSIP_Label_b1c9b508-7c6e-42bd-bedf-808292653d6c_Name">
    <vt:lpwstr>b1c9b508-7c6e-42bd-bedf-808292653d6c</vt:lpwstr>
  </property>
  <property fmtid="{D5CDD505-2E9C-101B-9397-08002B2CF9AE}" pid="9" name="MSIP_Label_b1c9b508-7c6e-42bd-bedf-808292653d6c_SiteId">
    <vt:lpwstr>2882be50-2012-4d88-ac86-544124e120c8</vt:lpwstr>
  </property>
  <property fmtid="{D5CDD505-2E9C-101B-9397-08002B2CF9AE}" pid="10" name="MSIP_Label_b1c9b508-7c6e-42bd-bedf-808292653d6c_ActionId">
    <vt:lpwstr>0e41546b-399a-4bd4-974f-6e1425b6f0dc</vt:lpwstr>
  </property>
  <property fmtid="{D5CDD505-2E9C-101B-9397-08002B2CF9AE}" pid="11" name="MSIP_Label_b1c9b508-7c6e-42bd-bedf-808292653d6c_ContentBits">
    <vt:lpwstr>3</vt:lpwstr>
  </property>
  <property fmtid="{D5CDD505-2E9C-101B-9397-08002B2CF9AE}" pid="12" name="MediaServiceImageTags">
    <vt:lpwstr/>
  </property>
  <property fmtid="{D5CDD505-2E9C-101B-9397-08002B2CF9AE}" pid="13" name="MSIP_Label_eda87506-7fda-481d-a14b-4a8fe5add330_Enabled">
    <vt:lpwstr>true</vt:lpwstr>
  </property>
  <property fmtid="{D5CDD505-2E9C-101B-9397-08002B2CF9AE}" pid="14" name="MSIP_Label_eda87506-7fda-481d-a14b-4a8fe5add330_SetDate">
    <vt:lpwstr>2024-06-25T06:50:05Z</vt:lpwstr>
  </property>
  <property fmtid="{D5CDD505-2E9C-101B-9397-08002B2CF9AE}" pid="15" name="MSIP_Label_eda87506-7fda-481d-a14b-4a8fe5add330_Method">
    <vt:lpwstr>Standard</vt:lpwstr>
  </property>
  <property fmtid="{D5CDD505-2E9C-101B-9397-08002B2CF9AE}" pid="16" name="MSIP_Label_eda87506-7fda-481d-a14b-4a8fe5add330_Name">
    <vt:lpwstr>internal</vt:lpwstr>
  </property>
  <property fmtid="{D5CDD505-2E9C-101B-9397-08002B2CF9AE}" pid="17" name="MSIP_Label_eda87506-7fda-481d-a14b-4a8fe5add330_SiteId">
    <vt:lpwstr>cd726fc8-636c-4794-8425-41f9d8b0d7d5</vt:lpwstr>
  </property>
  <property fmtid="{D5CDD505-2E9C-101B-9397-08002B2CF9AE}" pid="18" name="MSIP_Label_eda87506-7fda-481d-a14b-4a8fe5add330_ActionId">
    <vt:lpwstr>9457d7bd-dd50-469b-b4e8-19629f2030cc</vt:lpwstr>
  </property>
  <property fmtid="{D5CDD505-2E9C-101B-9397-08002B2CF9AE}" pid="19" name="MSIP_Label_eda87506-7fda-481d-a14b-4a8fe5add330_ContentBits">
    <vt:lpwstr>0</vt:lpwstr>
  </property>
  <property fmtid="{D5CDD505-2E9C-101B-9397-08002B2CF9AE}" pid="20" name="KSOProductBuildVer">
    <vt:lpwstr>2052-0.0.0.0</vt:lpwstr>
  </property>
</Properties>
</file>